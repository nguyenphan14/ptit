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codeName="ThisWorkbook" defaultThemeVersion="124226"/>
  <bookViews>
    <workbookView xWindow="0" yWindow="0" windowWidth="19440" windowHeight="7665" tabRatio="267" firstSheet="4" activeTab="5"/>
  </bookViews>
  <sheets>
    <sheet name="Nhom ( 20)" sheetId="70" state="hidden" r:id="rId1"/>
    <sheet name="Nhom (19 )" sheetId="67" state="hidden" r:id="rId2"/>
    <sheet name="Nhom ( 18)" sheetId="64" state="hidden" r:id="rId3"/>
    <sheet name="Nhom ( 17)" sheetId="61" state="hidden" r:id="rId4"/>
    <sheet name="Nhom ( 16)" sheetId="58" r:id="rId5"/>
    <sheet name="Nhom ( 15)" sheetId="55" r:id="rId6"/>
    <sheet name="Nhom ( 14)" sheetId="52" state="hidden" r:id="rId7"/>
    <sheet name="Nhom (13 )" sheetId="49" state="hidden" r:id="rId8"/>
    <sheet name="Nhom (12)" sheetId="22" r:id="rId9"/>
    <sheet name="Nhom (11)" sheetId="20" r:id="rId10"/>
    <sheet name="Nhom (10)" sheetId="18" state="hidden" r:id="rId11"/>
    <sheet name="Nhom (9)" sheetId="16" state="hidden" r:id="rId12"/>
    <sheet name="Nhom (8)" sheetId="14" state="hidden" r:id="rId13"/>
    <sheet name="Nhom (7)" sheetId="12" state="hidden" r:id="rId14"/>
    <sheet name="Nhom (6)" sheetId="10" state="hidden" r:id="rId15"/>
    <sheet name="Nhom (5)" sheetId="8" state="hidden" r:id="rId16"/>
    <sheet name="Nhom (4)" sheetId="6" state="hidden" r:id="rId17"/>
    <sheet name="Nhom (3)" sheetId="5" state="hidden" r:id="rId18"/>
    <sheet name="Nhom (2)" sheetId="28" state="hidden" r:id="rId19"/>
    <sheet name="Nhom (1)" sheetId="3" state="hidden" r:id="rId20"/>
  </sheets>
  <definedNames>
    <definedName name="_xlnm._FilterDatabase" localSheetId="6" hidden="1">'Nhom ( 14)'!$A$8:$N$37</definedName>
    <definedName name="_xlnm._FilterDatabase" localSheetId="5" hidden="1">'Nhom ( 15)'!$A$8:$N$38</definedName>
    <definedName name="_xlnm._FilterDatabase" localSheetId="4" hidden="1">'Nhom ( 16)'!$A$8:$N$38</definedName>
    <definedName name="_xlnm._FilterDatabase" localSheetId="3" hidden="1">'Nhom ( 17)'!$A$8:$N$37</definedName>
    <definedName name="_xlnm._FilterDatabase" localSheetId="2" hidden="1">'Nhom ( 18)'!$A$8:$N$37</definedName>
    <definedName name="_xlnm._FilterDatabase" localSheetId="0" hidden="1">'Nhom ( 20)'!$A$8:$N$38</definedName>
    <definedName name="_xlnm._FilterDatabase" localSheetId="19" hidden="1">'Nhom (1)'!$A$8:$N$38</definedName>
    <definedName name="_xlnm._FilterDatabase" localSheetId="10" hidden="1">'Nhom (10)'!$A$8:$N$38</definedName>
    <definedName name="_xlnm._FilterDatabase" localSheetId="9" hidden="1">'Nhom (11)'!$A$8:$N$38</definedName>
    <definedName name="_xlnm._FilterDatabase" localSheetId="8" hidden="1">'Nhom (12)'!$A$8:$N$39</definedName>
    <definedName name="_xlnm._FilterDatabase" localSheetId="7" hidden="1">'Nhom (13 )'!$A$8:$N$38</definedName>
    <definedName name="_xlnm._FilterDatabase" localSheetId="1" hidden="1">'Nhom (19 )'!$A$8:$N$37</definedName>
    <definedName name="_xlnm._FilterDatabase" localSheetId="18" hidden="1">'Nhom (2)'!$A$8:$N$38</definedName>
    <definedName name="_xlnm._FilterDatabase" localSheetId="17" hidden="1">'Nhom (3)'!$A$8:$N$38</definedName>
    <definedName name="_xlnm._FilterDatabase" localSheetId="16" hidden="1">'Nhom (4)'!$A$8:$N$38</definedName>
    <definedName name="_xlnm._FilterDatabase" localSheetId="15" hidden="1">'Nhom (5)'!$A$8:$N$37</definedName>
    <definedName name="_xlnm._FilterDatabase" localSheetId="14" hidden="1">'Nhom (6)'!$A$8:$N$38</definedName>
    <definedName name="_xlnm._FilterDatabase" localSheetId="13" hidden="1">'Nhom (7)'!$A$8:$N$38</definedName>
    <definedName name="_xlnm._FilterDatabase" localSheetId="12" hidden="1">'Nhom (8)'!$A$8:$N$38</definedName>
    <definedName name="_xlnm._FilterDatabase" localSheetId="11" hidden="1">'Nhom (9)'!$A$8:$N$38</definedName>
    <definedName name="_xlnm.Print_Titles" localSheetId="6">'Nhom ( 14)'!$4:$9</definedName>
    <definedName name="_xlnm.Print_Titles" localSheetId="5">'Nhom ( 15)'!$4:$9</definedName>
    <definedName name="_xlnm.Print_Titles" localSheetId="4">'Nhom ( 16)'!$4:$9</definedName>
    <definedName name="_xlnm.Print_Titles" localSheetId="3">'Nhom ( 17)'!$4:$9</definedName>
    <definedName name="_xlnm.Print_Titles" localSheetId="2">'Nhom ( 18)'!$4:$9</definedName>
    <definedName name="_xlnm.Print_Titles" localSheetId="0">'Nhom ( 20)'!$4:$9</definedName>
    <definedName name="_xlnm.Print_Titles" localSheetId="19">'Nhom (1)'!$4:$9</definedName>
    <definedName name="_xlnm.Print_Titles" localSheetId="10">'Nhom (10)'!$4:$9</definedName>
    <definedName name="_xlnm.Print_Titles" localSheetId="9">'Nhom (11)'!$4:$9</definedName>
    <definedName name="_xlnm.Print_Titles" localSheetId="8">'Nhom (12)'!$4:$9</definedName>
    <definedName name="_xlnm.Print_Titles" localSheetId="7">'Nhom (13 )'!$4:$9</definedName>
    <definedName name="_xlnm.Print_Titles" localSheetId="1">'Nhom (19 )'!$4:$9</definedName>
    <definedName name="_xlnm.Print_Titles" localSheetId="18">'Nhom (2)'!$4:$9</definedName>
    <definedName name="_xlnm.Print_Titles" localSheetId="17">'Nhom (3)'!$4:$9</definedName>
    <definedName name="_xlnm.Print_Titles" localSheetId="16">'Nhom (4)'!$4:$9</definedName>
    <definedName name="_xlnm.Print_Titles" localSheetId="15">'Nhom (5)'!$4:$9</definedName>
    <definedName name="_xlnm.Print_Titles" localSheetId="14">'Nhom (6)'!$4:$9</definedName>
    <definedName name="_xlnm.Print_Titles" localSheetId="13">'Nhom (7)'!$4:$9</definedName>
    <definedName name="_xlnm.Print_Titles" localSheetId="12">'Nhom (8)'!$4:$9</definedName>
    <definedName name="_xlnm.Print_Titles" localSheetId="11">'Nhom (9)'!$4:$9</definedName>
    <definedName name="TS" localSheetId="6">#REF!</definedName>
    <definedName name="TS" localSheetId="5">#REF!</definedName>
    <definedName name="TS" localSheetId="4">#REF!</definedName>
    <definedName name="TS" localSheetId="3">#REF!</definedName>
    <definedName name="TS" localSheetId="2">#REF!</definedName>
    <definedName name="TS" localSheetId="0">#REF!</definedName>
    <definedName name="TS" localSheetId="9">#REF!</definedName>
    <definedName name="TS" localSheetId="8">#REF!</definedName>
    <definedName name="TS" localSheetId="7">#REF!</definedName>
    <definedName name="TS" localSheetId="1">#REF!</definedName>
    <definedName name="TS" localSheetId="18">#REF!</definedName>
    <definedName name="TS" localSheetId="17">#REF!</definedName>
    <definedName name="TS" localSheetId="13">#REF!</definedName>
    <definedName name="TS" localSheetId="12">#REF!</definedName>
    <definedName name="TS">#REF!</definedName>
    <definedName name="TTSV" localSheetId="6">#REF!</definedName>
    <definedName name="TTSV" localSheetId="5">#REF!</definedName>
    <definedName name="TTSV" localSheetId="4">#REF!</definedName>
    <definedName name="TTSV" localSheetId="3">#REF!</definedName>
    <definedName name="TTSV" localSheetId="2">#REF!</definedName>
    <definedName name="TTSV" localSheetId="0">#REF!</definedName>
    <definedName name="TTSV" localSheetId="9">#REF!</definedName>
    <definedName name="TTSV" localSheetId="8">#REF!</definedName>
    <definedName name="TTSV" localSheetId="7">#REF!</definedName>
    <definedName name="TTSV" localSheetId="1">#REF!</definedName>
    <definedName name="TTSV" localSheetId="18">#REF!</definedName>
    <definedName name="TTSV" localSheetId="17">#REF!</definedName>
    <definedName name="TTSV" localSheetId="13">#REF!</definedName>
    <definedName name="TTSV" localSheetId="12">#REF!</definedName>
    <definedName name="TTSV">#REF!</definedName>
  </definedNames>
  <calcPr calcId="124519"/>
</workbook>
</file>

<file path=xl/calcChain.xml><?xml version="1.0" encoding="utf-8"?>
<calcChain xmlns="http://schemas.openxmlformats.org/spreadsheetml/2006/main">
  <c r="B101" i="58"/>
  <c r="B100"/>
  <c r="B99"/>
  <c r="B98"/>
  <c r="B99" i="55"/>
  <c r="B98"/>
  <c r="B97"/>
  <c r="B96"/>
  <c r="B102" i="22"/>
  <c r="B101"/>
  <c r="B100"/>
  <c r="B99"/>
  <c r="D5" i="58"/>
  <c r="N4"/>
  <c r="D4"/>
  <c r="D5" i="55"/>
  <c r="N4"/>
  <c r="D4"/>
  <c r="D5" i="22"/>
  <c r="N4"/>
  <c r="D4"/>
  <c r="B101" i="20"/>
  <c r="B100"/>
  <c r="B99"/>
  <c r="B98"/>
  <c r="N96" i="3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5" i="28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5" i="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5" i="6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2" i="8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94" i="10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5" i="12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6" i="14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5" i="16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4" i="18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6" i="20"/>
  <c r="N95"/>
  <c r="N93"/>
  <c r="N84"/>
  <c r="N78"/>
  <c r="N70"/>
  <c r="N69"/>
  <c r="N68"/>
  <c r="N64"/>
  <c r="N63"/>
  <c r="N62"/>
  <c r="N61"/>
  <c r="N60"/>
  <c r="N55"/>
  <c r="N53"/>
  <c r="N50"/>
  <c r="N48"/>
  <c r="N47"/>
  <c r="N39"/>
  <c r="N96" i="22"/>
  <c r="N95"/>
  <c r="N94"/>
  <c r="N93"/>
  <c r="N91"/>
  <c r="N87"/>
  <c r="N86"/>
  <c r="N85"/>
  <c r="N81"/>
  <c r="N80"/>
  <c r="N79"/>
  <c r="N68"/>
  <c r="N67"/>
  <c r="N66"/>
  <c r="N65"/>
  <c r="N62"/>
  <c r="N61"/>
  <c r="N60"/>
  <c r="N59"/>
  <c r="N58"/>
  <c r="N57"/>
  <c r="N51"/>
  <c r="N49"/>
  <c r="N46"/>
  <c r="N43"/>
  <c r="N40"/>
  <c r="N94" i="49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3" i="52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93" i="55"/>
  <c r="N92"/>
  <c r="N86"/>
  <c r="N83"/>
  <c r="N82"/>
  <c r="N78"/>
  <c r="N75"/>
  <c r="N71"/>
  <c r="N70"/>
  <c r="N69"/>
  <c r="N64"/>
  <c r="N61"/>
  <c r="N60"/>
  <c r="N57"/>
  <c r="N56"/>
  <c r="N55"/>
  <c r="N52"/>
  <c r="N49"/>
  <c r="N94" i="58"/>
  <c r="N93"/>
  <c r="N92"/>
  <c r="N91"/>
  <c r="N90"/>
  <c r="N89"/>
  <c r="N88"/>
  <c r="N87"/>
  <c r="N85"/>
  <c r="N83"/>
  <c r="N81"/>
  <c r="N79"/>
  <c r="N78"/>
  <c r="N75"/>
  <c r="N70"/>
  <c r="N69"/>
  <c r="N67"/>
  <c r="N66"/>
  <c r="N65"/>
  <c r="N61"/>
  <c r="N59"/>
  <c r="N58"/>
  <c r="N57"/>
  <c r="N51"/>
  <c r="N50"/>
  <c r="N43"/>
  <c r="N42"/>
  <c r="N40"/>
  <c r="N39"/>
  <c r="N94" i="70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91" i="67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65" i="61" l="1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91" i="64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B93"/>
  <c r="B94"/>
  <c r="B95"/>
  <c r="B96"/>
  <c r="N22" i="18" l="1"/>
  <c r="N21"/>
  <c r="N20"/>
  <c r="N19"/>
  <c r="N18"/>
  <c r="N17"/>
  <c r="N16"/>
  <c r="N22" i="16"/>
  <c r="N21"/>
  <c r="N20"/>
  <c r="N19"/>
  <c r="N18"/>
  <c r="N17"/>
  <c r="N16"/>
  <c r="N22" i="14"/>
  <c r="N21"/>
  <c r="N20"/>
  <c r="N19"/>
  <c r="N18"/>
  <c r="N17"/>
  <c r="N16"/>
  <c r="N22" i="12"/>
  <c r="N21"/>
  <c r="N20"/>
  <c r="N19"/>
  <c r="N18"/>
  <c r="N17"/>
  <c r="N16"/>
  <c r="N22" i="10"/>
  <c r="N21"/>
  <c r="N20"/>
  <c r="N19"/>
  <c r="N18"/>
  <c r="N17"/>
  <c r="N16"/>
  <c r="N22" i="8"/>
  <c r="N21"/>
  <c r="N20"/>
  <c r="N19"/>
  <c r="N18"/>
  <c r="N17"/>
  <c r="N16"/>
  <c r="N22" i="6"/>
  <c r="N21"/>
  <c r="N20"/>
  <c r="N19"/>
  <c r="N18"/>
  <c r="N17"/>
  <c r="N16"/>
  <c r="N22" i="5"/>
  <c r="N21"/>
  <c r="N20"/>
  <c r="N19"/>
  <c r="N18"/>
  <c r="N17"/>
  <c r="N16"/>
  <c r="N30" i="28"/>
  <c r="N29"/>
  <c r="N28"/>
  <c r="N27"/>
  <c r="N26"/>
  <c r="N25"/>
  <c r="N24"/>
  <c r="N29" i="3"/>
  <c r="N28"/>
  <c r="N27"/>
  <c r="N26"/>
  <c r="N25"/>
  <c r="B99" i="70"/>
  <c r="B98"/>
  <c r="B97"/>
  <c r="B96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D5"/>
  <c r="N4"/>
  <c r="D4"/>
  <c r="B96" i="67"/>
  <c r="B95"/>
  <c r="B94"/>
  <c r="B93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D5"/>
  <c r="N4"/>
  <c r="D4"/>
  <c r="N37" i="64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D5"/>
  <c r="N4"/>
  <c r="D4"/>
  <c r="B70" i="61"/>
  <c r="B69"/>
  <c r="B68"/>
  <c r="B67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D5"/>
  <c r="N4"/>
  <c r="D4"/>
  <c r="N35" i="58"/>
  <c r="N34"/>
  <c r="N31"/>
  <c r="N28"/>
  <c r="N27"/>
  <c r="N25"/>
  <c r="N21"/>
  <c r="N19"/>
  <c r="N36" i="55"/>
  <c r="N32"/>
  <c r="N27"/>
  <c r="N26"/>
  <c r="N21"/>
  <c r="N19"/>
  <c r="N14"/>
  <c r="N13"/>
  <c r="N10"/>
  <c r="B98" i="52"/>
  <c r="B97"/>
  <c r="B96"/>
  <c r="B95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D5"/>
  <c r="N4"/>
  <c r="D4"/>
  <c r="N25" i="22"/>
  <c r="B99" i="49"/>
  <c r="B98"/>
  <c r="B97"/>
  <c r="B96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D5"/>
  <c r="N4"/>
  <c r="D4"/>
  <c r="B100" i="28" l="1"/>
  <c r="B99"/>
  <c r="B98"/>
  <c r="B97"/>
  <c r="N38"/>
  <c r="N37"/>
  <c r="N36"/>
  <c r="N35"/>
  <c r="N34"/>
  <c r="N33"/>
  <c r="N32"/>
  <c r="N31"/>
  <c r="N23"/>
  <c r="N22"/>
  <c r="N21"/>
  <c r="N20"/>
  <c r="N19"/>
  <c r="N18"/>
  <c r="N17"/>
  <c r="N16"/>
  <c r="N15"/>
  <c r="N14"/>
  <c r="N13"/>
  <c r="N12"/>
  <c r="N11"/>
  <c r="N10"/>
  <c r="D5"/>
  <c r="N4"/>
  <c r="D4"/>
  <c r="N38" i="22" l="1"/>
  <c r="N37"/>
  <c r="N36"/>
  <c r="N35"/>
  <c r="N34"/>
  <c r="N24"/>
  <c r="N19"/>
  <c r="N17"/>
  <c r="N16"/>
  <c r="N13"/>
  <c r="N12"/>
  <c r="N11"/>
  <c r="N38" i="20"/>
  <c r="N37"/>
  <c r="N34"/>
  <c r="N33"/>
  <c r="N31"/>
  <c r="N29"/>
  <c r="N26"/>
  <c r="N19"/>
  <c r="N16"/>
  <c r="N12"/>
  <c r="D5"/>
  <c r="N4"/>
  <c r="D4"/>
  <c r="B100" i="18"/>
  <c r="B99"/>
  <c r="B98"/>
  <c r="B97"/>
  <c r="N38"/>
  <c r="N37"/>
  <c r="N36"/>
  <c r="N35"/>
  <c r="N34"/>
  <c r="N33"/>
  <c r="N32"/>
  <c r="N31"/>
  <c r="N30"/>
  <c r="N29"/>
  <c r="N28"/>
  <c r="N27"/>
  <c r="N26"/>
  <c r="N25"/>
  <c r="N24"/>
  <c r="N23"/>
  <c r="N15"/>
  <c r="N14"/>
  <c r="N13"/>
  <c r="N12"/>
  <c r="N11"/>
  <c r="N10"/>
  <c r="D5"/>
  <c r="N4"/>
  <c r="D4"/>
  <c r="B100" i="16"/>
  <c r="B99"/>
  <c r="B98"/>
  <c r="B97"/>
  <c r="N38"/>
  <c r="N37"/>
  <c r="N36"/>
  <c r="N35"/>
  <c r="N34"/>
  <c r="N33"/>
  <c r="N32"/>
  <c r="N31"/>
  <c r="N30"/>
  <c r="N29"/>
  <c r="N28"/>
  <c r="N27"/>
  <c r="N26"/>
  <c r="N25"/>
  <c r="N24"/>
  <c r="N23"/>
  <c r="N15"/>
  <c r="N14"/>
  <c r="N13"/>
  <c r="N12"/>
  <c r="N11"/>
  <c r="N10"/>
  <c r="D5"/>
  <c r="N4"/>
  <c r="D4"/>
  <c r="B101" i="14"/>
  <c r="B100"/>
  <c r="B99"/>
  <c r="B98"/>
  <c r="N38"/>
  <c r="N37"/>
  <c r="N36"/>
  <c r="N35"/>
  <c r="N34"/>
  <c r="N33"/>
  <c r="N32"/>
  <c r="N31"/>
  <c r="N30"/>
  <c r="N29"/>
  <c r="N28"/>
  <c r="N27"/>
  <c r="N26"/>
  <c r="N25"/>
  <c r="N24"/>
  <c r="N23"/>
  <c r="N15"/>
  <c r="N14"/>
  <c r="N13"/>
  <c r="N12"/>
  <c r="N11"/>
  <c r="N10"/>
  <c r="D5"/>
  <c r="N4"/>
  <c r="D4"/>
  <c r="B100" i="12"/>
  <c r="B99"/>
  <c r="B98"/>
  <c r="B97"/>
  <c r="N38"/>
  <c r="N37"/>
  <c r="N36"/>
  <c r="N35"/>
  <c r="N34"/>
  <c r="N33"/>
  <c r="N32"/>
  <c r="N31"/>
  <c r="N30"/>
  <c r="N29"/>
  <c r="N28"/>
  <c r="N27"/>
  <c r="N26"/>
  <c r="N25"/>
  <c r="N24"/>
  <c r="N23"/>
  <c r="N15"/>
  <c r="N14"/>
  <c r="N13"/>
  <c r="N12"/>
  <c r="N11"/>
  <c r="N10"/>
  <c r="D5"/>
  <c r="N4"/>
  <c r="D4"/>
  <c r="B99" i="10"/>
  <c r="B98"/>
  <c r="B97"/>
  <c r="B96"/>
  <c r="N38"/>
  <c r="N37"/>
  <c r="N36"/>
  <c r="N35"/>
  <c r="N34"/>
  <c r="N33"/>
  <c r="N32"/>
  <c r="N31"/>
  <c r="N30"/>
  <c r="N29"/>
  <c r="N28"/>
  <c r="N27"/>
  <c r="N26"/>
  <c r="N25"/>
  <c r="N24"/>
  <c r="N23"/>
  <c r="N15"/>
  <c r="N14"/>
  <c r="N13"/>
  <c r="N12"/>
  <c r="N11"/>
  <c r="N10"/>
  <c r="D5"/>
  <c r="N4"/>
  <c r="D4"/>
  <c r="B97" i="8"/>
  <c r="B96"/>
  <c r="B95"/>
  <c r="B94"/>
  <c r="N37"/>
  <c r="N36"/>
  <c r="N35"/>
  <c r="N34"/>
  <c r="N33"/>
  <c r="N32"/>
  <c r="N31"/>
  <c r="N30"/>
  <c r="N29"/>
  <c r="N28"/>
  <c r="N27"/>
  <c r="N26"/>
  <c r="N25"/>
  <c r="N24"/>
  <c r="N23"/>
  <c r="N15"/>
  <c r="N14"/>
  <c r="N13"/>
  <c r="N12"/>
  <c r="N11"/>
  <c r="N10"/>
  <c r="D5"/>
  <c r="N4"/>
  <c r="D4"/>
  <c r="B100" i="6"/>
  <c r="B99"/>
  <c r="B98"/>
  <c r="B97"/>
  <c r="N38"/>
  <c r="N37"/>
  <c r="N36"/>
  <c r="N35"/>
  <c r="N34"/>
  <c r="N33"/>
  <c r="N32"/>
  <c r="N31"/>
  <c r="N30"/>
  <c r="N29"/>
  <c r="N28"/>
  <c r="N27"/>
  <c r="N26"/>
  <c r="N25"/>
  <c r="N24"/>
  <c r="N23"/>
  <c r="N15"/>
  <c r="N14"/>
  <c r="N13"/>
  <c r="N12"/>
  <c r="N11"/>
  <c r="N10"/>
  <c r="D5"/>
  <c r="N4"/>
  <c r="D4"/>
  <c r="B100" i="5"/>
  <c r="B99"/>
  <c r="B98"/>
  <c r="B97"/>
  <c r="N38"/>
  <c r="N37"/>
  <c r="N36"/>
  <c r="N35"/>
  <c r="N34"/>
  <c r="N33"/>
  <c r="N32"/>
  <c r="N31"/>
  <c r="N30"/>
  <c r="N29"/>
  <c r="N28"/>
  <c r="N27"/>
  <c r="N26"/>
  <c r="N25"/>
  <c r="N24"/>
  <c r="N23"/>
  <c r="N15"/>
  <c r="N14"/>
  <c r="N13"/>
  <c r="N12"/>
  <c r="N11"/>
  <c r="N10"/>
  <c r="D5"/>
  <c r="N4"/>
  <c r="D4"/>
  <c r="N4" i="3" l="1"/>
  <c r="D5"/>
  <c r="D4"/>
  <c r="N38" l="1"/>
  <c r="N37"/>
  <c r="N36"/>
  <c r="N35"/>
  <c r="N34"/>
  <c r="N33"/>
  <c r="N32"/>
  <c r="N31"/>
  <c r="N30"/>
  <c r="N24"/>
  <c r="N23"/>
  <c r="N22"/>
  <c r="N21"/>
  <c r="N20"/>
  <c r="N19"/>
  <c r="N18"/>
  <c r="N17"/>
  <c r="N16"/>
  <c r="N15"/>
  <c r="N14"/>
  <c r="N13"/>
  <c r="N12"/>
  <c r="N11"/>
  <c r="N10"/>
  <c r="B101"/>
  <c r="B100"/>
  <c r="B99"/>
  <c r="B98"/>
</calcChain>
</file>

<file path=xl/sharedStrings.xml><?xml version="1.0" encoding="utf-8"?>
<sst xmlns="http://schemas.openxmlformats.org/spreadsheetml/2006/main" count="16304" uniqueCount="2860">
  <si>
    <t>HỌC VIỆN CÔNG NGHỆ BƯU CHÍNH VIỄN THÔNG</t>
  </si>
  <si>
    <t>Học phần:</t>
  </si>
  <si>
    <t>Số tín chỉ:</t>
  </si>
  <si>
    <t>Số
TT</t>
  </si>
  <si>
    <t>Mã SV</t>
  </si>
  <si>
    <t>Họ và tên</t>
  </si>
  <si>
    <t>Lớp</t>
  </si>
  <si>
    <t>Điểm CC</t>
  </si>
  <si>
    <t>Điểm TBKT</t>
  </si>
  <si>
    <t>Điểm TN-TH</t>
  </si>
  <si>
    <t>Điểm BTTL</t>
  </si>
  <si>
    <t>Ghi chú</t>
  </si>
  <si>
    <t>Trọng số:</t>
  </si>
  <si>
    <t/>
  </si>
  <si>
    <t xml:space="preserve">KHOA: </t>
  </si>
  <si>
    <r>
      <t xml:space="preserve">BỘ MÔN: </t>
    </r>
    <r>
      <rPr>
        <sz val="11"/>
        <rFont val="Times New Roman"/>
        <family val="1"/>
      </rPr>
      <t/>
    </r>
  </si>
  <si>
    <t>BẢNG ĐIỂM THÀNH PHẦN</t>
  </si>
  <si>
    <r>
      <t>Trưởng Bộ Môn</t>
    </r>
    <r>
      <rPr>
        <sz val="12"/>
        <rFont val="Times New Roman"/>
        <family val="1"/>
      </rPr>
      <t xml:space="preserve">
(Ký và ghi rõ họ tên)</t>
    </r>
  </si>
  <si>
    <r>
      <t>Giảng viên</t>
    </r>
    <r>
      <rPr>
        <sz val="12"/>
        <rFont val="Times New Roman"/>
        <family val="1"/>
      </rPr>
      <t xml:space="preserve">
(Ký và ghi rõ họ tên)</t>
    </r>
  </si>
  <si>
    <t>Nhóm:</t>
  </si>
  <si>
    <r>
      <t xml:space="preserve">- </t>
    </r>
    <r>
      <rPr>
        <b/>
        <i/>
        <sz val="11"/>
        <rFont val="Times New Roman"/>
        <family val="1"/>
      </rPr>
      <t>Ghi chú</t>
    </r>
    <r>
      <rPr>
        <sz val="11"/>
        <rFont val="Times New Roman"/>
        <family val="1"/>
      </rPr>
      <t xml:space="preserve">: </t>
    </r>
    <r>
      <rPr>
        <i/>
        <sz val="11"/>
        <rFont val="Times New Roman"/>
        <family val="1"/>
      </rPr>
      <t xml:space="preserve"> Trọng số (theo Đề cương chi tiết học phần)</t>
    </r>
  </si>
  <si>
    <t>Hà Nội, ngày    tháng     năm 2020</t>
  </si>
  <si>
    <t>Thi lần 1 học kỳ II năm học 2019 - 2020</t>
  </si>
  <si>
    <t>TenMH</t>
  </si>
  <si>
    <t>SoTinChi</t>
  </si>
  <si>
    <t>MaMH-NhomThi</t>
  </si>
  <si>
    <t>An</t>
  </si>
  <si>
    <t>Anh</t>
  </si>
  <si>
    <t>Trần Thị Ngọc</t>
  </si>
  <si>
    <t>Trần Tuấn</t>
  </si>
  <si>
    <t>D19CQCN08-B</t>
  </si>
  <si>
    <t>Bảo</t>
  </si>
  <si>
    <t>Nguyễn Đức</t>
  </si>
  <si>
    <t>Chính</t>
  </si>
  <si>
    <t>Đỗ Thị</t>
  </si>
  <si>
    <t>Dịu</t>
  </si>
  <si>
    <t>Dũng</t>
  </si>
  <si>
    <t>Nguyễn Tuấn</t>
  </si>
  <si>
    <t>D19CQCN07-B</t>
  </si>
  <si>
    <t>Đạt</t>
  </si>
  <si>
    <t>D19CQCN12-B</t>
  </si>
  <si>
    <t>Lê Quang</t>
  </si>
  <si>
    <t>Độ</t>
  </si>
  <si>
    <t>D19CQCN03-B</t>
  </si>
  <si>
    <t>Đức</t>
  </si>
  <si>
    <t>Nguyễn Kim</t>
  </si>
  <si>
    <t>Hải</t>
  </si>
  <si>
    <t>Hân</t>
  </si>
  <si>
    <t>Hiệp</t>
  </si>
  <si>
    <t>Hiếu</t>
  </si>
  <si>
    <t>Trần Thu</t>
  </si>
  <si>
    <t>Hoài</t>
  </si>
  <si>
    <t>D19CQCN05-B</t>
  </si>
  <si>
    <t>Hoàng</t>
  </si>
  <si>
    <t>Trần Thị</t>
  </si>
  <si>
    <t>Lê Tuấn</t>
  </si>
  <si>
    <t>Hùng</t>
  </si>
  <si>
    <t>Nguyễn Duy</t>
  </si>
  <si>
    <t>Huy</t>
  </si>
  <si>
    <t>Nguyễn Thị Thu</t>
  </si>
  <si>
    <t>Huyền</t>
  </si>
  <si>
    <t>Trần Quang</t>
  </si>
  <si>
    <t>Hưng</t>
  </si>
  <si>
    <t>Trần Văn</t>
  </si>
  <si>
    <t>Phạm Thị Lan</t>
  </si>
  <si>
    <t>Hương</t>
  </si>
  <si>
    <t>Hoàng Minh</t>
  </si>
  <si>
    <t>Khánh</t>
  </si>
  <si>
    <t>Nguyễn Xuân</t>
  </si>
  <si>
    <t>Khoa</t>
  </si>
  <si>
    <t>Nguyễn Thị</t>
  </si>
  <si>
    <t>Linh</t>
  </si>
  <si>
    <t>Long</t>
  </si>
  <si>
    <t>Mạnh</t>
  </si>
  <si>
    <t>Nguyễn Trọng</t>
  </si>
  <si>
    <t>Minh</t>
  </si>
  <si>
    <t>Nguyễn Văn</t>
  </si>
  <si>
    <t>Nam</t>
  </si>
  <si>
    <t>Phạm Văn</t>
  </si>
  <si>
    <t>Phạm Thị</t>
  </si>
  <si>
    <t>Nga</t>
  </si>
  <si>
    <t>Nguyên</t>
  </si>
  <si>
    <t>D19CQCN11-B</t>
  </si>
  <si>
    <t>Phan Hoàng</t>
  </si>
  <si>
    <t>Nhung</t>
  </si>
  <si>
    <t>Vũ Thị</t>
  </si>
  <si>
    <t>Oanh</t>
  </si>
  <si>
    <t>Phúc</t>
  </si>
  <si>
    <t>Lê Ngọc</t>
  </si>
  <si>
    <t>Phương</t>
  </si>
  <si>
    <t>Nguyễn Thanh</t>
  </si>
  <si>
    <t>Quang</t>
  </si>
  <si>
    <t>Vũ Anh</t>
  </si>
  <si>
    <t>Quân</t>
  </si>
  <si>
    <t>Nguyễn Bá</t>
  </si>
  <si>
    <t>Quý</t>
  </si>
  <si>
    <t>Quyên</t>
  </si>
  <si>
    <t>Sơn</t>
  </si>
  <si>
    <t>B19DCCN560</t>
  </si>
  <si>
    <t>B19DCCN572</t>
  </si>
  <si>
    <t>Nghê Minh</t>
  </si>
  <si>
    <t>Tân</t>
  </si>
  <si>
    <t>B19DCCN575</t>
  </si>
  <si>
    <t>Phan Mạnh</t>
  </si>
  <si>
    <t>B19DCCN644</t>
  </si>
  <si>
    <t>Dương Đình</t>
  </si>
  <si>
    <t>Thanh</t>
  </si>
  <si>
    <t>B19DCCN666</t>
  </si>
  <si>
    <t>Thế</t>
  </si>
  <si>
    <t>B19DCCN670</t>
  </si>
  <si>
    <t>Quản Ngọc</t>
  </si>
  <si>
    <t>Thiều</t>
  </si>
  <si>
    <t>Đỗ Văn</t>
  </si>
  <si>
    <t>Thịnh</t>
  </si>
  <si>
    <t>B19DCVT402</t>
  </si>
  <si>
    <t>Tạ Thị Minh</t>
  </si>
  <si>
    <t>Thư</t>
  </si>
  <si>
    <t>D19CQVT02-B</t>
  </si>
  <si>
    <t>B19DCCN696</t>
  </si>
  <si>
    <t>Lê Văn</t>
  </si>
  <si>
    <t>Trung</t>
  </si>
  <si>
    <t>B19DCCN600</t>
  </si>
  <si>
    <t>Tú</t>
  </si>
  <si>
    <t>B19DCCN605</t>
  </si>
  <si>
    <t>Phạm Công</t>
  </si>
  <si>
    <t>Tuân</t>
  </si>
  <si>
    <t>B19DCCN615</t>
  </si>
  <si>
    <t>Nguyễn Anh</t>
  </si>
  <si>
    <t>Tuấn</t>
  </si>
  <si>
    <t>B19DCCN709</t>
  </si>
  <si>
    <t>Uyên</t>
  </si>
  <si>
    <t>Phạm Thị Ngọc</t>
  </si>
  <si>
    <t>Châm</t>
  </si>
  <si>
    <t>Nguyễn Đăng</t>
  </si>
  <si>
    <t>Diễm</t>
  </si>
  <si>
    <t>Duy</t>
  </si>
  <si>
    <t>Dương</t>
  </si>
  <si>
    <t>Nguyễn Thành</t>
  </si>
  <si>
    <t>Hoàng Anh</t>
  </si>
  <si>
    <t>Nguyễn Quang</t>
  </si>
  <si>
    <t>Hòa</t>
  </si>
  <si>
    <t>Lê Nhật</t>
  </si>
  <si>
    <t>Kiên</t>
  </si>
  <si>
    <t>Lâm</t>
  </si>
  <si>
    <t>Hoàng Đức</t>
  </si>
  <si>
    <t>Nguyễn Phương</t>
  </si>
  <si>
    <t>Trần Trung</t>
  </si>
  <si>
    <t>Nghĩa</t>
  </si>
  <si>
    <t>Ngọc</t>
  </si>
  <si>
    <t>Ninh</t>
  </si>
  <si>
    <t>Vũ Tiến</t>
  </si>
  <si>
    <t>Nguyễn Thị Thúy</t>
  </si>
  <si>
    <t>Quỳnh</t>
  </si>
  <si>
    <t>Tài</t>
  </si>
  <si>
    <t>Đỗ Đức</t>
  </si>
  <si>
    <t>Tâm</t>
  </si>
  <si>
    <t>Thành</t>
  </si>
  <si>
    <t>Nguyễn Minh</t>
  </si>
  <si>
    <t>Thắng</t>
  </si>
  <si>
    <t>Thiện</t>
  </si>
  <si>
    <t>Trương Công</t>
  </si>
  <si>
    <t>Tiến</t>
  </si>
  <si>
    <t>Toàn</t>
  </si>
  <si>
    <t>Phạm Đình</t>
  </si>
  <si>
    <t>Nguyễn Thị Huyền</t>
  </si>
  <si>
    <t>Trang</t>
  </si>
  <si>
    <t>Trường</t>
  </si>
  <si>
    <t>Phạm Xuân</t>
  </si>
  <si>
    <t>Nguyễn Vĩnh</t>
  </si>
  <si>
    <t>Phạm Quang</t>
  </si>
  <si>
    <t>Đoàn Văn</t>
  </si>
  <si>
    <t>Việt</t>
  </si>
  <si>
    <t>Lê Trung</t>
  </si>
  <si>
    <t>Vinh</t>
  </si>
  <si>
    <t>Nguyễn Hoàng</t>
  </si>
  <si>
    <t>Nguyễn Ngọc</t>
  </si>
  <si>
    <t>Ánh</t>
  </si>
  <si>
    <t>Nguyễn Quốc</t>
  </si>
  <si>
    <t>Bình</t>
  </si>
  <si>
    <t>Chinh</t>
  </si>
  <si>
    <t>Cường</t>
  </si>
  <si>
    <t>Diệp</t>
  </si>
  <si>
    <t>Nguyễn Mạnh</t>
  </si>
  <si>
    <t>Phạm Hải</t>
  </si>
  <si>
    <t>Nguyễn Tiến</t>
  </si>
  <si>
    <t>Đại</t>
  </si>
  <si>
    <t>Hoàng Tiến</t>
  </si>
  <si>
    <t>Nguyễn Việt</t>
  </si>
  <si>
    <t>Hà</t>
  </si>
  <si>
    <t>Nguyễn Trung</t>
  </si>
  <si>
    <t>Lộc</t>
  </si>
  <si>
    <t>Trần Đức</t>
  </si>
  <si>
    <t>Lương</t>
  </si>
  <si>
    <t>Phạm Tuấn</t>
  </si>
  <si>
    <t>Nhi</t>
  </si>
  <si>
    <t>Phong</t>
  </si>
  <si>
    <t>Phượng</t>
  </si>
  <si>
    <t>Đỗ Ngọc</t>
  </si>
  <si>
    <t>Nguyễn Công</t>
  </si>
  <si>
    <t>Nguyễn Hồng</t>
  </si>
  <si>
    <t>Nguyễn Danh</t>
  </si>
  <si>
    <t>Nguyễn Thị Quỳnh</t>
  </si>
  <si>
    <t>Nguyễn Hà</t>
  </si>
  <si>
    <t>Tùng</t>
  </si>
  <si>
    <t>Nguyễn Sơn</t>
  </si>
  <si>
    <t>Trịnh Trung</t>
  </si>
  <si>
    <t>Bùi Ngọc</t>
  </si>
  <si>
    <t>Vũ Việt</t>
  </si>
  <si>
    <t>Lê Thanh</t>
  </si>
  <si>
    <t>Cao Thị</t>
  </si>
  <si>
    <t>Đặng Duy</t>
  </si>
  <si>
    <t>Nguyễn Thế</t>
  </si>
  <si>
    <t>Giang</t>
  </si>
  <si>
    <t>Hằng</t>
  </si>
  <si>
    <t>Lê Minh</t>
  </si>
  <si>
    <t>Hoa</t>
  </si>
  <si>
    <t>Bùi Việt</t>
  </si>
  <si>
    <t>Luân</t>
  </si>
  <si>
    <t>Nguyễn Phú</t>
  </si>
  <si>
    <t>Nguyễn Thị Kim</t>
  </si>
  <si>
    <t>Ngân</t>
  </si>
  <si>
    <t>Nguyễn Nhật</t>
  </si>
  <si>
    <t>Ngô Văn</t>
  </si>
  <si>
    <t>Quyết</t>
  </si>
  <si>
    <t>Đào Thanh</t>
  </si>
  <si>
    <t>Thái</t>
  </si>
  <si>
    <t>Phan Văn</t>
  </si>
  <si>
    <t>Vũ Đức</t>
  </si>
  <si>
    <t>Thúy</t>
  </si>
  <si>
    <t>Toản</t>
  </si>
  <si>
    <t>Công</t>
  </si>
  <si>
    <t>Vũ Đình</t>
  </si>
  <si>
    <t>Đài</t>
  </si>
  <si>
    <t>Điệp</t>
  </si>
  <si>
    <t>Trần Anh</t>
  </si>
  <si>
    <t>Hiển</t>
  </si>
  <si>
    <t>Phạm Minh</t>
  </si>
  <si>
    <t>Nguyễn Huy</t>
  </si>
  <si>
    <t>Bùi Quang</t>
  </si>
  <si>
    <t>Đào Ngọc</t>
  </si>
  <si>
    <t>Nguyễn Viết</t>
  </si>
  <si>
    <t>Lê Thành</t>
  </si>
  <si>
    <t>Nguyễn Hải</t>
  </si>
  <si>
    <t>Phạm Thùy</t>
  </si>
  <si>
    <t>Trinh</t>
  </si>
  <si>
    <t>Lê Anh</t>
  </si>
  <si>
    <t>Chí</t>
  </si>
  <si>
    <t>Vũ Văn</t>
  </si>
  <si>
    <t>Bùi Đức</t>
  </si>
  <si>
    <t>Lê Hồng</t>
  </si>
  <si>
    <t>Hào</t>
  </si>
  <si>
    <t>Hiền</t>
  </si>
  <si>
    <t>Trần Minh</t>
  </si>
  <si>
    <t>Hoàn</t>
  </si>
  <si>
    <t>Nguyễn Hữu</t>
  </si>
  <si>
    <t>Trần Khánh</t>
  </si>
  <si>
    <t>Trần Ngọc</t>
  </si>
  <si>
    <t>Ly</t>
  </si>
  <si>
    <t>Nguyễn Thị Thanh</t>
  </si>
  <si>
    <t>Nhàn</t>
  </si>
  <si>
    <t>Nhật</t>
  </si>
  <si>
    <t>Vũ Hoàng</t>
  </si>
  <si>
    <t>Đào Duy</t>
  </si>
  <si>
    <t>Trọng</t>
  </si>
  <si>
    <t>Trần Duy</t>
  </si>
  <si>
    <t>Châu</t>
  </si>
  <si>
    <t>Hoàng Trung</t>
  </si>
  <si>
    <t>Đông</t>
  </si>
  <si>
    <t>Hạnh</t>
  </si>
  <si>
    <t>Hậu</t>
  </si>
  <si>
    <t>Đinh Thị</t>
  </si>
  <si>
    <t>Đào Thế</t>
  </si>
  <si>
    <t>Trần Hồng</t>
  </si>
  <si>
    <t>Nguyễn Thị Lệ</t>
  </si>
  <si>
    <t>Nguyễn Thị Hồng</t>
  </si>
  <si>
    <t>Thu</t>
  </si>
  <si>
    <t>Vũ Thị Hương</t>
  </si>
  <si>
    <t>Vi</t>
  </si>
  <si>
    <t>Vũ</t>
  </si>
  <si>
    <t>Lê Hoàng</t>
  </si>
  <si>
    <t>Nguyễn Khắc</t>
  </si>
  <si>
    <t>Hoàng Văn</t>
  </si>
  <si>
    <t>Đào Hồng</t>
  </si>
  <si>
    <t>Lê Đức</t>
  </si>
  <si>
    <t>Thủy</t>
  </si>
  <si>
    <t>Triệu</t>
  </si>
  <si>
    <t>Tuyên</t>
  </si>
  <si>
    <t>Phạm Việt</t>
  </si>
  <si>
    <t>Bích</t>
  </si>
  <si>
    <t>Cơ</t>
  </si>
  <si>
    <t>Nguyễn Tấn</t>
  </si>
  <si>
    <t>Hồng</t>
  </si>
  <si>
    <t>Phạm Ngọc</t>
  </si>
  <si>
    <t>Nguyễn Như</t>
  </si>
  <si>
    <t>Dương Tuấn</t>
  </si>
  <si>
    <t>Thắm</t>
  </si>
  <si>
    <t>Trần Bảo</t>
  </si>
  <si>
    <t>Đoàn</t>
  </si>
  <si>
    <t>Trần Thanh</t>
  </si>
  <si>
    <t>Huệ</t>
  </si>
  <si>
    <t>Đinh Đức</t>
  </si>
  <si>
    <t>Khang</t>
  </si>
  <si>
    <t>Nguyễn Thị Kiều</t>
  </si>
  <si>
    <t>Nguyễn Thị Lan</t>
  </si>
  <si>
    <t>Phan Quốc</t>
  </si>
  <si>
    <t>Dung</t>
  </si>
  <si>
    <t>Đáng</t>
  </si>
  <si>
    <t>Hảo</t>
  </si>
  <si>
    <t>Đào Đức</t>
  </si>
  <si>
    <t>Lê Thị</t>
  </si>
  <si>
    <t>Đỗ Quang</t>
  </si>
  <si>
    <t>Trịnh Thị</t>
  </si>
  <si>
    <t>Phạm Thu</t>
  </si>
  <si>
    <t>Lan</t>
  </si>
  <si>
    <t>Đỗ Thị Kim</t>
  </si>
  <si>
    <t>Nguyễn Thái</t>
  </si>
  <si>
    <t>Đặng Thị</t>
  </si>
  <si>
    <t>Thụy</t>
  </si>
  <si>
    <t>Đỗ Việt</t>
  </si>
  <si>
    <t>Đào Tiến</t>
  </si>
  <si>
    <t>Đoàn Quốc</t>
  </si>
  <si>
    <t>Đào Trung</t>
  </si>
  <si>
    <t>Trịnh Minh</t>
  </si>
  <si>
    <t>Lê Quốc</t>
  </si>
  <si>
    <t>Vương</t>
  </si>
  <si>
    <t>Mai Quốc</t>
  </si>
  <si>
    <t>Nguyễn Thu</t>
  </si>
  <si>
    <t>Lê Hải</t>
  </si>
  <si>
    <t>Vũ Thành</t>
  </si>
  <si>
    <t>Lê Duy</t>
  </si>
  <si>
    <t>Cảnh</t>
  </si>
  <si>
    <t>Đồng</t>
  </si>
  <si>
    <t>Nguyễn Thị Phương</t>
  </si>
  <si>
    <t>Sang</t>
  </si>
  <si>
    <t>Sinh</t>
  </si>
  <si>
    <t>Vượng</t>
  </si>
  <si>
    <t>Nguyễn Thị Hải</t>
  </si>
  <si>
    <t>Yến</t>
  </si>
  <si>
    <t>Đỗ Thu</t>
  </si>
  <si>
    <t>Lê Hữu</t>
  </si>
  <si>
    <t>Nguyễn Thúy</t>
  </si>
  <si>
    <t>Hiệu</t>
  </si>
  <si>
    <t>Khải</t>
  </si>
  <si>
    <t>Đinh Quốc</t>
  </si>
  <si>
    <t>Đinh Trọng</t>
  </si>
  <si>
    <t>Lân</t>
  </si>
  <si>
    <t>Cao Văn</t>
  </si>
  <si>
    <t>Hoàng Ngọc</t>
  </si>
  <si>
    <t>Phạm Duy</t>
  </si>
  <si>
    <t>CƠ BẢN</t>
  </si>
  <si>
    <t>Bùi Thị</t>
  </si>
  <si>
    <t>Mai</t>
  </si>
  <si>
    <t>Thảo</t>
  </si>
  <si>
    <t>Thơm</t>
  </si>
  <si>
    <t>Thương</t>
  </si>
  <si>
    <t>Ngô Thị</t>
  </si>
  <si>
    <t>Lê Đình</t>
  </si>
  <si>
    <t>Phạm Thị Thu</t>
  </si>
  <si>
    <t>Xuân</t>
  </si>
  <si>
    <t>Nguyễn Thị Ngọc</t>
  </si>
  <si>
    <t>Vũ Thu</t>
  </si>
  <si>
    <t>Đào Thị</t>
  </si>
  <si>
    <t>Nguyễn Khánh</t>
  </si>
  <si>
    <t>Nguyễn Hùng</t>
  </si>
  <si>
    <t>Trần Công</t>
  </si>
  <si>
    <t>Phạm Thị Kiều</t>
  </si>
  <si>
    <t>Nguyễn Thị Cẩm</t>
  </si>
  <si>
    <t>Đặng Ngọc</t>
  </si>
  <si>
    <t>Ngô Minh</t>
  </si>
  <si>
    <t>Tuyết</t>
  </si>
  <si>
    <t>Nguyễn Tùng</t>
  </si>
  <si>
    <t>Vũ Thị Minh</t>
  </si>
  <si>
    <t>Trần Như</t>
  </si>
  <si>
    <t>Đào Quang</t>
  </si>
  <si>
    <t>Trần Hữu</t>
  </si>
  <si>
    <t>Nguyệt</t>
  </si>
  <si>
    <t>Hoàng Thị</t>
  </si>
  <si>
    <t>Phùng Thị Phương</t>
  </si>
  <si>
    <t>Đăng</t>
  </si>
  <si>
    <t>Trần Trí</t>
  </si>
  <si>
    <t>Khuyên</t>
  </si>
  <si>
    <t>Tình</t>
  </si>
  <si>
    <t>Vũ Ngọc</t>
  </si>
  <si>
    <t>Phạm Huy</t>
  </si>
  <si>
    <t>Quyền</t>
  </si>
  <si>
    <t>Nguyễn Bảo</t>
  </si>
  <si>
    <t>Trần Thị Thu</t>
  </si>
  <si>
    <t>Trà</t>
  </si>
  <si>
    <t>Đỗ Xuân</t>
  </si>
  <si>
    <t>Huyên</t>
  </si>
  <si>
    <t>Trần Gia</t>
  </si>
  <si>
    <t>Dương Thế</t>
  </si>
  <si>
    <t>Nguyễn Kiều</t>
  </si>
  <si>
    <t>Vũ Nam</t>
  </si>
  <si>
    <t>B19DCCN001</t>
  </si>
  <si>
    <t>Bạch Thu</t>
  </si>
  <si>
    <t>D19CQCN01-B</t>
  </si>
  <si>
    <t>Vật lý 1 và thí nghiệm</t>
  </si>
  <si>
    <t>BAS1224_11</t>
  </si>
  <si>
    <t>B17DCDT003</t>
  </si>
  <si>
    <t>D17CQDT03-B</t>
  </si>
  <si>
    <t>B19DCCN007</t>
  </si>
  <si>
    <t>B19DCCN015</t>
  </si>
  <si>
    <t>B19DCAT005</t>
  </si>
  <si>
    <t>Nguyễn Bá Thế</t>
  </si>
  <si>
    <t>D19CQAT01-B</t>
  </si>
  <si>
    <t>B19DCCN031</t>
  </si>
  <si>
    <t>B19DCCN043</t>
  </si>
  <si>
    <t>Trần Nguyễn Đức</t>
  </si>
  <si>
    <t>B19DCCN046</t>
  </si>
  <si>
    <t>D19CQCN10-B</t>
  </si>
  <si>
    <t>B19DCAT012</t>
  </si>
  <si>
    <t>D19CQAT04-B</t>
  </si>
  <si>
    <t>B19DCCN052</t>
  </si>
  <si>
    <t>D19CQCN04-B</t>
  </si>
  <si>
    <t>B19DCCN058</t>
  </si>
  <si>
    <t>Đinh Gia</t>
  </si>
  <si>
    <t>B19DCCN100</t>
  </si>
  <si>
    <t>Chiến</t>
  </si>
  <si>
    <t>B19DCCN102</t>
  </si>
  <si>
    <t>D19CQCN06-B</t>
  </si>
  <si>
    <t>B19DCAT025</t>
  </si>
  <si>
    <t>Chương</t>
  </si>
  <si>
    <t>B19DCCN071</t>
  </si>
  <si>
    <t>B19DCCN075</t>
  </si>
  <si>
    <t>Đinh Như</t>
  </si>
  <si>
    <t>Cương</t>
  </si>
  <si>
    <t>B19DCCN077</t>
  </si>
  <si>
    <t>Đặng Quốc</t>
  </si>
  <si>
    <t>B19DCAT020</t>
  </si>
  <si>
    <t>Lê Mạnh</t>
  </si>
  <si>
    <t>B19DCCN093</t>
  </si>
  <si>
    <t>D19CQCN09-B</t>
  </si>
  <si>
    <t>B19DCCN113</t>
  </si>
  <si>
    <t>Nguyễn Đình</t>
  </si>
  <si>
    <t>B19DCCN121</t>
  </si>
  <si>
    <t>Đỗ Đăng</t>
  </si>
  <si>
    <t>B19DCCN124</t>
  </si>
  <si>
    <t>B19DCCN132</t>
  </si>
  <si>
    <t>Phan Công</t>
  </si>
  <si>
    <t>B19DCCN136</t>
  </si>
  <si>
    <t>B19DCCN138</t>
  </si>
  <si>
    <t>Lê Huy</t>
  </si>
  <si>
    <t>B19DCAT030</t>
  </si>
  <si>
    <t>D19CQAT02-B</t>
  </si>
  <si>
    <t>B19DCCN151</t>
  </si>
  <si>
    <t>B19DCCN161</t>
  </si>
  <si>
    <t>B19DCCN168</t>
  </si>
  <si>
    <t>Đặng Minh</t>
  </si>
  <si>
    <t>B19DCDT046</t>
  </si>
  <si>
    <t>D19CQDT02-B</t>
  </si>
  <si>
    <t>B19DCAT037</t>
  </si>
  <si>
    <t>B19DCAT045</t>
  </si>
  <si>
    <t>B19DCAT046</t>
  </si>
  <si>
    <t>B19DCCN194</t>
  </si>
  <si>
    <t>Nguyễn Phúc</t>
  </si>
  <si>
    <t>D19CQCN02-B</t>
  </si>
  <si>
    <t>B17DCVT108</t>
  </si>
  <si>
    <t>D17CQVT04-B</t>
  </si>
  <si>
    <t>B19DCAT053</t>
  </si>
  <si>
    <t>B19DCCN228</t>
  </si>
  <si>
    <t>B19DCCN245</t>
  </si>
  <si>
    <t>B19DCAT077</t>
  </si>
  <si>
    <t>Trần Quốc</t>
  </si>
  <si>
    <t>B19DCCN275</t>
  </si>
  <si>
    <t>B19DCCN296</t>
  </si>
  <si>
    <t>Lương Ngọc</t>
  </si>
  <si>
    <t>B19DCAT091</t>
  </si>
  <si>
    <t>D19CQAT03-B</t>
  </si>
  <si>
    <t>B19DCAT098</t>
  </si>
  <si>
    <t>B19DCCN354</t>
  </si>
  <si>
    <t>Đỗ Quốc</t>
  </si>
  <si>
    <t>B19DCCN363</t>
  </si>
  <si>
    <t>Khôi</t>
  </si>
  <si>
    <t>B19DCCN378</t>
  </si>
  <si>
    <t>B19DCCN379</t>
  </si>
  <si>
    <t>B19DCCN387</t>
  </si>
  <si>
    <t>B18DCVT256</t>
  </si>
  <si>
    <t>D18CQVT08-B</t>
  </si>
  <si>
    <t>B18DCCN362</t>
  </si>
  <si>
    <t>Trần Hoàng</t>
  </si>
  <si>
    <t>D18CQCN10-B</t>
  </si>
  <si>
    <t>B19DCCN404</t>
  </si>
  <si>
    <t>Lợi</t>
  </si>
  <si>
    <t>B19DCCN411</t>
  </si>
  <si>
    <t>B19DCAT122</t>
  </si>
  <si>
    <t>B19DCCN430</t>
  </si>
  <si>
    <t>B19DCCN440</t>
  </si>
  <si>
    <t>B19DCCN442</t>
  </si>
  <si>
    <t>Trần Bình</t>
  </si>
  <si>
    <t>B19DCCN460</t>
  </si>
  <si>
    <t>B19DCCN467</t>
  </si>
  <si>
    <t>B19DCCN482</t>
  </si>
  <si>
    <t>B19DCCN485</t>
  </si>
  <si>
    <t>B19DCAT134</t>
  </si>
  <si>
    <t>B19DCAT135</t>
  </si>
  <si>
    <t>Bùi Thanh</t>
  </si>
  <si>
    <t>B19DCCN501</t>
  </si>
  <si>
    <t>Thiều Quang</t>
  </si>
  <si>
    <t>B19DCAT138</t>
  </si>
  <si>
    <t>B19DCCN507</t>
  </si>
  <si>
    <t>Hoàng Hữu</t>
  </si>
  <si>
    <t>Phước</t>
  </si>
  <si>
    <t>B19DCCN515</t>
  </si>
  <si>
    <t>B19DCCN526</t>
  </si>
  <si>
    <t>Doãn Hữu</t>
  </si>
  <si>
    <t>B19DCCN538</t>
  </si>
  <si>
    <t>B19DCCN571</t>
  </si>
  <si>
    <t>Lương Minh</t>
  </si>
  <si>
    <t>B19DCCN573</t>
  </si>
  <si>
    <t>Nguyễn Phi</t>
  </si>
  <si>
    <t>B19DCCN640</t>
  </si>
  <si>
    <t>B19DCCN647</t>
  </si>
  <si>
    <t>B19DCAT189</t>
  </si>
  <si>
    <t>Thiên</t>
  </si>
  <si>
    <t>B19DCAT191</t>
  </si>
  <si>
    <t>Hoàng Quốc</t>
  </si>
  <si>
    <t>B19DCCN675</t>
  </si>
  <si>
    <t>B19DCCN679</t>
  </si>
  <si>
    <t>B19DCCN681</t>
  </si>
  <si>
    <t>Tạ Mạnh</t>
  </si>
  <si>
    <t>Thức</t>
  </si>
  <si>
    <t>B16DCDT200</t>
  </si>
  <si>
    <t>D16XLTH2</t>
  </si>
  <si>
    <t>B19DCCN682</t>
  </si>
  <si>
    <t>Hoàng Hiền</t>
  </si>
  <si>
    <t>B19DCCN684</t>
  </si>
  <si>
    <t>B19DCCN685</t>
  </si>
  <si>
    <t>B19DCCN686</t>
  </si>
  <si>
    <t>B19DCAT197</t>
  </si>
  <si>
    <t>B19DCCN699</t>
  </si>
  <si>
    <t>B19DCAT199</t>
  </si>
  <si>
    <t>Tưởng Quốc</t>
  </si>
  <si>
    <t>B19DCCN603</t>
  </si>
  <si>
    <t>B19DCCN718</t>
  </si>
  <si>
    <t>Hà Trọng</t>
  </si>
  <si>
    <t>B19DCCN016</t>
  </si>
  <si>
    <t>Hoàng Vân</t>
  </si>
  <si>
    <t>BAS1224_12</t>
  </si>
  <si>
    <t>B19DCCN017</t>
  </si>
  <si>
    <t>Lê Đình Duy</t>
  </si>
  <si>
    <t>B19DCCN018</t>
  </si>
  <si>
    <t>Lê Việt</t>
  </si>
  <si>
    <t>B19DCCN024</t>
  </si>
  <si>
    <t>B19DCAT007</t>
  </si>
  <si>
    <t>B19DCCN035</t>
  </si>
  <si>
    <t>B19DCCN038</t>
  </si>
  <si>
    <t>Phạm Tiến</t>
  </si>
  <si>
    <t>B19DCCN057</t>
  </si>
  <si>
    <t>Đỗ Công</t>
  </si>
  <si>
    <t>Ban</t>
  </si>
  <si>
    <t>B19DCCN062</t>
  </si>
  <si>
    <t>Vũ Quốc</t>
  </si>
  <si>
    <t>B19DCCN067</t>
  </si>
  <si>
    <t>B19DCCN094</t>
  </si>
  <si>
    <t>Chang</t>
  </si>
  <si>
    <t>B19DCCN081</t>
  </si>
  <si>
    <t>Lê Quý</t>
  </si>
  <si>
    <t>B19DCCN130</t>
  </si>
  <si>
    <t>Phạm Trung</t>
  </si>
  <si>
    <t>B19DCAT029</t>
  </si>
  <si>
    <t>Kiều Khánh</t>
  </si>
  <si>
    <t>B19DCCN142</t>
  </si>
  <si>
    <t>Tạ Đình</t>
  </si>
  <si>
    <t>B19DCCN158</t>
  </si>
  <si>
    <t>B16DCDT027</t>
  </si>
  <si>
    <t>B18DCAT054</t>
  </si>
  <si>
    <t>D18CQAT02-B</t>
  </si>
  <si>
    <t>B16DCDT038</t>
  </si>
  <si>
    <t>D16XLTH1</t>
  </si>
  <si>
    <t>B19DCCN187</t>
  </si>
  <si>
    <t>Đoàn Minh</t>
  </si>
  <si>
    <t>B19DCCN188</t>
  </si>
  <si>
    <t>Đỗ Minh</t>
  </si>
  <si>
    <t>B19DCCN206</t>
  </si>
  <si>
    <t>Mai Đức</t>
  </si>
  <si>
    <t>B19DCAT059</t>
  </si>
  <si>
    <t>Bùi Thị Hồng</t>
  </si>
  <si>
    <t>B19DCCN224</t>
  </si>
  <si>
    <t>Phạm Thị Thanh</t>
  </si>
  <si>
    <t>B19DCAT061</t>
  </si>
  <si>
    <t>B19DCCN225</t>
  </si>
  <si>
    <t>Phạm Thị Thúy</t>
  </si>
  <si>
    <t>B18DCAT076</t>
  </si>
  <si>
    <t>Phạm Thế</t>
  </si>
  <si>
    <t>D18CQAT04-B</t>
  </si>
  <si>
    <t>B19DCCN233</t>
  </si>
  <si>
    <t>Dương Hoàng</t>
  </si>
  <si>
    <t>B19DCCN240</t>
  </si>
  <si>
    <t>B19DCCN251</t>
  </si>
  <si>
    <t>B19DCAT069</t>
  </si>
  <si>
    <t>B19DCAT073</t>
  </si>
  <si>
    <t>B19DCCN266</t>
  </si>
  <si>
    <t>Trần Đình</t>
  </si>
  <si>
    <t>B19DCAT086</t>
  </si>
  <si>
    <t>Lê Tài Quang</t>
  </si>
  <si>
    <t>B19DCAT089</t>
  </si>
  <si>
    <t>B19DCCN312</t>
  </si>
  <si>
    <t>B19DCCN313</t>
  </si>
  <si>
    <t>B19DCCN314</t>
  </si>
  <si>
    <t>B19DCCN322</t>
  </si>
  <si>
    <t>Trần Trọng</t>
  </si>
  <si>
    <t>B19DCAT093</t>
  </si>
  <si>
    <t>Vũ Quang</t>
  </si>
  <si>
    <t>B19DCCN333</t>
  </si>
  <si>
    <t>B19DCCN335</t>
  </si>
  <si>
    <t>Trịnh Công</t>
  </si>
  <si>
    <t>B19DCCN337</t>
  </si>
  <si>
    <t>B19DCCN341</t>
  </si>
  <si>
    <t>Vũ Bá</t>
  </si>
  <si>
    <t>Hướng</t>
  </si>
  <si>
    <t>B19DCCN342</t>
  </si>
  <si>
    <t>Vũ Xuân</t>
  </si>
  <si>
    <t>B19DCAT105</t>
  </si>
  <si>
    <t>Nguyễn Hữu Vinh</t>
  </si>
  <si>
    <t>B19DCCN347</t>
  </si>
  <si>
    <t>B18DCAT132</t>
  </si>
  <si>
    <t>Bùi Đình</t>
  </si>
  <si>
    <t>B19DCAT111</t>
  </si>
  <si>
    <t>B18DCDT127</t>
  </si>
  <si>
    <t>Lê Đăng</t>
  </si>
  <si>
    <t>D18CQDT03-B</t>
  </si>
  <si>
    <t>B19DCAT114</t>
  </si>
  <si>
    <t>B19DCCN391</t>
  </si>
  <si>
    <t>B19DCCN392</t>
  </si>
  <si>
    <t>Mai Đại</t>
  </si>
  <si>
    <t>B19DCCN397</t>
  </si>
  <si>
    <t>B19DCAT117</t>
  </si>
  <si>
    <t>B19DCCN413</t>
  </si>
  <si>
    <t>Đỗ Mai</t>
  </si>
  <si>
    <t>B19DCAT120</t>
  </si>
  <si>
    <t>B19DCAT121</t>
  </si>
  <si>
    <t>B19DCCN418</t>
  </si>
  <si>
    <t>B19DCCN423</t>
  </si>
  <si>
    <t>B19DCCN426</t>
  </si>
  <si>
    <t>Bùi Nhật</t>
  </si>
  <si>
    <t>B19DCCN428</t>
  </si>
  <si>
    <t>B19DCAT129</t>
  </si>
  <si>
    <t>B19DCCN471</t>
  </si>
  <si>
    <t>B19DCCN480</t>
  </si>
  <si>
    <t>B19DCAT131</t>
  </si>
  <si>
    <t>B19DCAT133</t>
  </si>
  <si>
    <t>B19DCCN506</t>
  </si>
  <si>
    <t>Vũ Kim</t>
  </si>
  <si>
    <t>B19DCAT141</t>
  </si>
  <si>
    <t>B19DCCN513</t>
  </si>
  <si>
    <t>B19DCCN521</t>
  </si>
  <si>
    <t>B19DCCN532</t>
  </si>
  <si>
    <t>B19DCCN539</t>
  </si>
  <si>
    <t>Trần Phú</t>
  </si>
  <si>
    <t>B19DCCN558</t>
  </si>
  <si>
    <t>B19DCCN564</t>
  </si>
  <si>
    <t>Đặng Văn</t>
  </si>
  <si>
    <t>B19DCAT175</t>
  </si>
  <si>
    <t>B19DCCN652</t>
  </si>
  <si>
    <t>Nguyễn Mậu</t>
  </si>
  <si>
    <t>B19DCCN584</t>
  </si>
  <si>
    <t>Trương Minh</t>
  </si>
  <si>
    <t>B19DCAT161</t>
  </si>
  <si>
    <t>Đỗ Viết</t>
  </si>
  <si>
    <t>B19DCCN597</t>
  </si>
  <si>
    <t>Tới</t>
  </si>
  <si>
    <t>B19DCCN683</t>
  </si>
  <si>
    <t>Lê Hà</t>
  </si>
  <si>
    <t>B19DCAT202</t>
  </si>
  <si>
    <t>B19DCCN608</t>
  </si>
  <si>
    <t>B19DCAT170</t>
  </si>
  <si>
    <t>B19DCCN626</t>
  </si>
  <si>
    <t>Khổng Mạnh</t>
  </si>
  <si>
    <t>B19DCCN632</t>
  </si>
  <si>
    <t>Khúc Chí</t>
  </si>
  <si>
    <t>Tuyền</t>
  </si>
  <si>
    <t>B19DCAT209</t>
  </si>
  <si>
    <t>B19DCVT006</t>
  </si>
  <si>
    <t>Từ Đạt</t>
  </si>
  <si>
    <t>D19CQVT06-B</t>
  </si>
  <si>
    <t>BAS1224_13</t>
  </si>
  <si>
    <t>B19DCCN011</t>
  </si>
  <si>
    <t>Đinh Tuấn</t>
  </si>
  <si>
    <t>B19DCCN013</t>
  </si>
  <si>
    <t>B19DCCN022</t>
  </si>
  <si>
    <t>Nguyễn Đăng Hoàng</t>
  </si>
  <si>
    <t>B19DCVT015</t>
  </si>
  <si>
    <t>D19CQVT07-B</t>
  </si>
  <si>
    <t>B19DCCN037</t>
  </si>
  <si>
    <t>B19DCVT040</t>
  </si>
  <si>
    <t>Đào Vũ Minh</t>
  </si>
  <si>
    <t>D19CQVT08-B</t>
  </si>
  <si>
    <t>B19DCVT043</t>
  </si>
  <si>
    <t>Ma Đình</t>
  </si>
  <si>
    <t>D19CQVT03-B</t>
  </si>
  <si>
    <t>B19DCDT020</t>
  </si>
  <si>
    <t>D19CQDT04-B</t>
  </si>
  <si>
    <t>B19DCVT053</t>
  </si>
  <si>
    <t>D19CQVT05-B</t>
  </si>
  <si>
    <t>B19DCVT057</t>
  </si>
  <si>
    <t>D19CQVT01-B</t>
  </si>
  <si>
    <t>B19DCVT062</t>
  </si>
  <si>
    <t>B19DCVT074</t>
  </si>
  <si>
    <t>Bùi Trọng</t>
  </si>
  <si>
    <t>B19DCDT051</t>
  </si>
  <si>
    <t>D19CQDT03-B</t>
  </si>
  <si>
    <t>B17DCAT032</t>
  </si>
  <si>
    <t>D17CQAT04-B</t>
  </si>
  <si>
    <t>B19DCVT087</t>
  </si>
  <si>
    <t>Trịnh Văn</t>
  </si>
  <si>
    <t>B19DCVT103</t>
  </si>
  <si>
    <t>B19DCCN209</t>
  </si>
  <si>
    <t>Phan Trường</t>
  </si>
  <si>
    <t>B19DCVT109</t>
  </si>
  <si>
    <t>B19DCAT058</t>
  </si>
  <si>
    <t>B19DCVT126</t>
  </si>
  <si>
    <t>Phí Chí</t>
  </si>
  <si>
    <t>B19DCVT130</t>
  </si>
  <si>
    <t>B19DCCN237</t>
  </si>
  <si>
    <t>Bùi Trung</t>
  </si>
  <si>
    <t>B19DCVT133</t>
  </si>
  <si>
    <t>B19DCCN247</t>
  </si>
  <si>
    <t>B19DCVT137</t>
  </si>
  <si>
    <t>B19DCDT077</t>
  </si>
  <si>
    <t>D19CQDT01-B</t>
  </si>
  <si>
    <t>B19DCAT068</t>
  </si>
  <si>
    <t>B19DCVT139</t>
  </si>
  <si>
    <t>B19DCDT084</t>
  </si>
  <si>
    <t>Dương Công</t>
  </si>
  <si>
    <t>B19DCVT153</t>
  </si>
  <si>
    <t>B19DCVT155</t>
  </si>
  <si>
    <t>Lê Như Việt</t>
  </si>
  <si>
    <t>B19DCAT080</t>
  </si>
  <si>
    <t>Huế</t>
  </si>
  <si>
    <t>B19DCVT168</t>
  </si>
  <si>
    <t>Nguyễn Sinh</t>
  </si>
  <si>
    <t>B19DCDT105</t>
  </si>
  <si>
    <t>B19DCVT198</t>
  </si>
  <si>
    <t>B19DCDT122</t>
  </si>
  <si>
    <t>Nguyễn Trần Lâm</t>
  </si>
  <si>
    <t>B19DCAT108</t>
  </si>
  <si>
    <t>Trần Bùi Như</t>
  </si>
  <si>
    <t>B19DCVT195</t>
  </si>
  <si>
    <t>Vi Trung</t>
  </si>
  <si>
    <t>B19DCVT216</t>
  </si>
  <si>
    <t>Phạm Tùng</t>
  </si>
  <si>
    <t>B19DCDT127</t>
  </si>
  <si>
    <t>Tống Thanh</t>
  </si>
  <si>
    <t>B16DCDT129</t>
  </si>
  <si>
    <t>B19DCVT218</t>
  </si>
  <si>
    <t>Đặng Thị Thùy</t>
  </si>
  <si>
    <t>B19DCAT115</t>
  </si>
  <si>
    <t>B19DCVT235</t>
  </si>
  <si>
    <t>Phùng Phi</t>
  </si>
  <si>
    <t>B19DCVT238</t>
  </si>
  <si>
    <t>Khuất Văn</t>
  </si>
  <si>
    <t>B19DCVT239</t>
  </si>
  <si>
    <t>Lơ</t>
  </si>
  <si>
    <t>B19DCVT244</t>
  </si>
  <si>
    <t>Lượng</t>
  </si>
  <si>
    <t>D19CQVT04-B</t>
  </si>
  <si>
    <t>B19DCCN416</t>
  </si>
  <si>
    <t>B19DCDT147</t>
  </si>
  <si>
    <t>B19DCVT261</t>
  </si>
  <si>
    <t>Bùi Văn</t>
  </si>
  <si>
    <t>B19DCCN450</t>
  </si>
  <si>
    <t>Nguyễn Chi</t>
  </si>
  <si>
    <t>B19DCDT151</t>
  </si>
  <si>
    <t>B19DCDT155</t>
  </si>
  <si>
    <t>Phan Hoài</t>
  </si>
  <si>
    <t>B19DCVT287</t>
  </si>
  <si>
    <t>Đào Mạnh</t>
  </si>
  <si>
    <t>B19DCCN509</t>
  </si>
  <si>
    <t>B19DCAT146</t>
  </si>
  <si>
    <t>B19DCVT303</t>
  </si>
  <si>
    <t>Thái Minh</t>
  </si>
  <si>
    <t>B19DCCN537</t>
  </si>
  <si>
    <t>B19DCDT181</t>
  </si>
  <si>
    <t>B19DCDT191</t>
  </si>
  <si>
    <t>B19DCDT216</t>
  </si>
  <si>
    <t>Hoa Thị</t>
  </si>
  <si>
    <t>B19DCDT217</t>
  </si>
  <si>
    <t>B19DCAT174</t>
  </si>
  <si>
    <t>B19DCCN650</t>
  </si>
  <si>
    <t>Ngô Đức</t>
  </si>
  <si>
    <t>B19DCDT232</t>
  </si>
  <si>
    <t>Nguyễn Văn Chiến</t>
  </si>
  <si>
    <t>B19DCCN664</t>
  </si>
  <si>
    <t>Thân</t>
  </si>
  <si>
    <t>B19DCVT391</t>
  </si>
  <si>
    <t>B19DCVT392</t>
  </si>
  <si>
    <t>Vũ Phúc</t>
  </si>
  <si>
    <t>B19DCDT242</t>
  </si>
  <si>
    <t>B19DCDT192</t>
  </si>
  <si>
    <t>B19DCCN585</t>
  </si>
  <si>
    <t>Tỉnh</t>
  </si>
  <si>
    <t>B19DCCN595</t>
  </si>
  <si>
    <t>B19DCAT201</t>
  </si>
  <si>
    <t>Vương Thành</t>
  </si>
  <si>
    <t>B19DCVT422</t>
  </si>
  <si>
    <t>Trực</t>
  </si>
  <si>
    <t>B19DCCN601</t>
  </si>
  <si>
    <t>B19DCCN614</t>
  </si>
  <si>
    <t>Ngô Phúc</t>
  </si>
  <si>
    <t>B19DCDT205</t>
  </si>
  <si>
    <t>Nguyễn Nguyên Huy</t>
  </si>
  <si>
    <t>B19DCVT349</t>
  </si>
  <si>
    <t>B19DCVT362</t>
  </si>
  <si>
    <t>B19DCVT365</t>
  </si>
  <si>
    <t>Tuyến</t>
  </si>
  <si>
    <t>B19DCVT434</t>
  </si>
  <si>
    <t>B18DCDT261</t>
  </si>
  <si>
    <t>Phạm Thanh</t>
  </si>
  <si>
    <t>D18CQDT01-B</t>
  </si>
  <si>
    <t>B19DCAT208</t>
  </si>
  <si>
    <t>B19DCDT256</t>
  </si>
  <si>
    <t>Phạm Hữu</t>
  </si>
  <si>
    <t>B19DCDT002</t>
  </si>
  <si>
    <t>BAS1224_14</t>
  </si>
  <si>
    <t>B19DCVT019</t>
  </si>
  <si>
    <t>Trần Thế</t>
  </si>
  <si>
    <t>B19DCDT017</t>
  </si>
  <si>
    <t>Phạm Xuân Gia</t>
  </si>
  <si>
    <t>B19DCVT064</t>
  </si>
  <si>
    <t>Nguyễn Đức Anh</t>
  </si>
  <si>
    <t>B19DCDT034</t>
  </si>
  <si>
    <t>B19DCVT070</t>
  </si>
  <si>
    <t>Trần Đại</t>
  </si>
  <si>
    <t>B19DCCN166</t>
  </si>
  <si>
    <t>Bùi Xuân</t>
  </si>
  <si>
    <t>B19DCVT079</t>
  </si>
  <si>
    <t>Lê Tiến</t>
  </si>
  <si>
    <t>B19DCDT052</t>
  </si>
  <si>
    <t>B19DCVT085</t>
  </si>
  <si>
    <t>Điền</t>
  </si>
  <si>
    <t>B19DCVT099</t>
  </si>
  <si>
    <t>Nguyễn Trường</t>
  </si>
  <si>
    <t>B19DCCN728</t>
  </si>
  <si>
    <t>Phạm Anh</t>
  </si>
  <si>
    <t>B19DCCN196</t>
  </si>
  <si>
    <t>B19DCCN208</t>
  </si>
  <si>
    <t>Nguyễn Đình Trường</t>
  </si>
  <si>
    <t>B19DCVT107</t>
  </si>
  <si>
    <t>B19DCAT056</t>
  </si>
  <si>
    <t>B19DCVT121</t>
  </si>
  <si>
    <t>B19DCVT129</t>
  </si>
  <si>
    <t>B19DCCN270</t>
  </si>
  <si>
    <t>Hoan</t>
  </si>
  <si>
    <t>B19DCDT087</t>
  </si>
  <si>
    <t>B19DCAT078</t>
  </si>
  <si>
    <t>Bùi Minh</t>
  </si>
  <si>
    <t>B19DCDT091</t>
  </si>
  <si>
    <t>B19DCDT092</t>
  </si>
  <si>
    <t>B19DCDT094</t>
  </si>
  <si>
    <t>B19DCVT157</t>
  </si>
  <si>
    <t>Nguyễn Hữu Hải</t>
  </si>
  <si>
    <t>B19DCVT158</t>
  </si>
  <si>
    <t>B19DCVT165</t>
  </si>
  <si>
    <t>B19DCVT173</t>
  </si>
  <si>
    <t>B19DCDT104</t>
  </si>
  <si>
    <t>B19DCDT108</t>
  </si>
  <si>
    <t>Phạm Khả</t>
  </si>
  <si>
    <t>B19DCAT094</t>
  </si>
  <si>
    <t>Đoàn Việt</t>
  </si>
  <si>
    <t>B19DCDT110</t>
  </si>
  <si>
    <t>Nguyễn Đức Phúc</t>
  </si>
  <si>
    <t>B19DCVT188</t>
  </si>
  <si>
    <t>Nguyễn Trần</t>
  </si>
  <si>
    <t>B19DCVT192</t>
  </si>
  <si>
    <t>B19DCAT099</t>
  </si>
  <si>
    <t>La Văn</t>
  </si>
  <si>
    <t>B19DCDT114</t>
  </si>
  <si>
    <t>B19DCVT215</t>
  </si>
  <si>
    <t>Nguyễn Thiện</t>
  </si>
  <si>
    <t>B18DCVT251</t>
  </si>
  <si>
    <t>Đỗ Đắc Quang</t>
  </si>
  <si>
    <t>D18CQVT03-B</t>
  </si>
  <si>
    <t>B19DCCN389</t>
  </si>
  <si>
    <t>Kiều Đức</t>
  </si>
  <si>
    <t>B19DCVT231</t>
  </si>
  <si>
    <t>Kiều Việt</t>
  </si>
  <si>
    <t>B19DCDT135</t>
  </si>
  <si>
    <t>Phạm Thành</t>
  </si>
  <si>
    <t>B19DCVT242</t>
  </si>
  <si>
    <t>Lực</t>
  </si>
  <si>
    <t>B19DCCN417</t>
  </si>
  <si>
    <t>B19DCCN424</t>
  </si>
  <si>
    <t>Trần Nguyễn</t>
  </si>
  <si>
    <t>B19DCDT142</t>
  </si>
  <si>
    <t>Hồ Văn Thành</t>
  </si>
  <si>
    <t>B19DCDT150</t>
  </si>
  <si>
    <t>B19DCVT286</t>
  </si>
  <si>
    <t>Trần Xuân</t>
  </si>
  <si>
    <t>Phú</t>
  </si>
  <si>
    <t>B19DCVT288</t>
  </si>
  <si>
    <t>Đoàn Ngọc</t>
  </si>
  <si>
    <t>B19DCDT167</t>
  </si>
  <si>
    <t>Hà Đại</t>
  </si>
  <si>
    <t>B19DCDT169</t>
  </si>
  <si>
    <t>B19DCDT174</t>
  </si>
  <si>
    <t>Đinh Văn</t>
  </si>
  <si>
    <t>B19DCCN520</t>
  </si>
  <si>
    <t>B19DCVT300</t>
  </si>
  <si>
    <t>B18DCCN507</t>
  </si>
  <si>
    <t>Ngô Quốc</t>
  </si>
  <si>
    <t>D18CQCN01-B</t>
  </si>
  <si>
    <t>B19DCDT187</t>
  </si>
  <si>
    <t>B19DCVT368</t>
  </si>
  <si>
    <t>Ngô Quang</t>
  </si>
  <si>
    <t>B19DCCN649</t>
  </si>
  <si>
    <t>B19DCDT224</t>
  </si>
  <si>
    <t>B19DCCN658</t>
  </si>
  <si>
    <t>B19DCVT387</t>
  </si>
  <si>
    <t>B19DCDT234</t>
  </si>
  <si>
    <t>Tô Đức</t>
  </si>
  <si>
    <t>B19DCCN673</t>
  </si>
  <si>
    <t>Chu Xuân</t>
  </si>
  <si>
    <t>B19DCDT239</t>
  </si>
  <si>
    <t>Vũ Minh</t>
  </si>
  <si>
    <t>Thụ</t>
  </si>
  <si>
    <t>B19DCVT401</t>
  </si>
  <si>
    <t>Ngô Thị Thu</t>
  </si>
  <si>
    <t>B19DCVT403</t>
  </si>
  <si>
    <t>B19DCCN580</t>
  </si>
  <si>
    <t>B19DCDT193</t>
  </si>
  <si>
    <t>B19DCVT328</t>
  </si>
  <si>
    <t>B19DCDT243</t>
  </si>
  <si>
    <t>B19DCCN687</t>
  </si>
  <si>
    <t>B19DCCN689</t>
  </si>
  <si>
    <t>Trí</t>
  </si>
  <si>
    <t>B19DCVT415</t>
  </si>
  <si>
    <t>Lại Quốc</t>
  </si>
  <si>
    <t>B19DCVT416</t>
  </si>
  <si>
    <t>B19DCVT421</t>
  </si>
  <si>
    <t>Trần Thành</t>
  </si>
  <si>
    <t>B19DCDT200</t>
  </si>
  <si>
    <t>B19DCVT345</t>
  </si>
  <si>
    <t>B19DCCN628</t>
  </si>
  <si>
    <t>B19DCVT431</t>
  </si>
  <si>
    <t>Ngô Đăng</t>
  </si>
  <si>
    <t>B19DCDT252</t>
  </si>
  <si>
    <t>B19DCAT205</t>
  </si>
  <si>
    <t>Phạm Quốc</t>
  </si>
  <si>
    <t>B19DCVT439</t>
  </si>
  <si>
    <t>B19DCVT442</t>
  </si>
  <si>
    <t>Vĩnh</t>
  </si>
  <si>
    <t>B19DCDT255</t>
  </si>
  <si>
    <t>Phan Đào Anh</t>
  </si>
  <si>
    <t>B19DCVT447</t>
  </si>
  <si>
    <t>Xuyên</t>
  </si>
  <si>
    <t>B19DCCN019</t>
  </si>
  <si>
    <t>Luyện Trần</t>
  </si>
  <si>
    <t>BAS1224_15</t>
  </si>
  <si>
    <t>B19DCCN021</t>
  </si>
  <si>
    <t>Nguyễn Dương Kỳ</t>
  </si>
  <si>
    <t>B19DCCN027</t>
  </si>
  <si>
    <t>B19DCCN032</t>
  </si>
  <si>
    <t>B19DCCN041</t>
  </si>
  <si>
    <t>Quách Hoàng</t>
  </si>
  <si>
    <t>B19DCVT025</t>
  </si>
  <si>
    <t>Nguyễn Gia</t>
  </si>
  <si>
    <t>Bách</t>
  </si>
  <si>
    <t>B15DCCN074</t>
  </si>
  <si>
    <t>Hà Văn</t>
  </si>
  <si>
    <t>Chuẩn</t>
  </si>
  <si>
    <t>D15CNPM4</t>
  </si>
  <si>
    <t>B19DCAT015</t>
  </si>
  <si>
    <t>Nguyễn Đức Sinh</t>
  </si>
  <si>
    <t>Cung</t>
  </si>
  <si>
    <t>B19DCVT033</t>
  </si>
  <si>
    <t>B19DCCN082</t>
  </si>
  <si>
    <t>Mai Văn</t>
  </si>
  <si>
    <t>B19DCCN108</t>
  </si>
  <si>
    <t>Đặng Công</t>
  </si>
  <si>
    <t>Danh</t>
  </si>
  <si>
    <t>B19DCCN110</t>
  </si>
  <si>
    <t>B15DCVT092</t>
  </si>
  <si>
    <t>Nguyễn Quý</t>
  </si>
  <si>
    <t>D15CQVT04-B</t>
  </si>
  <si>
    <t>B19DCVT055</t>
  </si>
  <si>
    <t>B19DCDT032</t>
  </si>
  <si>
    <t>B19DCCN143</t>
  </si>
  <si>
    <t>Tạ Phương</t>
  </si>
  <si>
    <t>B19DCCN150</t>
  </si>
  <si>
    <t>B19DCAT032</t>
  </si>
  <si>
    <t>B19DCDT043</t>
  </si>
  <si>
    <t>B19DCAT042</t>
  </si>
  <si>
    <t>B19DCDT069</t>
  </si>
  <si>
    <t>B19DCCN238</t>
  </si>
  <si>
    <t>Đặng Trọng</t>
  </si>
  <si>
    <t>B19DCAT066</t>
  </si>
  <si>
    <t>B19DCCN243</t>
  </si>
  <si>
    <t>Đồng Hữu</t>
  </si>
  <si>
    <t>B19DCCN248</t>
  </si>
  <si>
    <t>B19DCVT140</t>
  </si>
  <si>
    <t>B19DCVT146</t>
  </si>
  <si>
    <t>B19DCDT085</t>
  </si>
  <si>
    <t>Hoàng Bá</t>
  </si>
  <si>
    <t>B13DCCN144</t>
  </si>
  <si>
    <t>Lê Trọng</t>
  </si>
  <si>
    <t>D13CNPM2</t>
  </si>
  <si>
    <t>B19DCVT147</t>
  </si>
  <si>
    <t>Hoà</t>
  </si>
  <si>
    <t>B19DCVT148</t>
  </si>
  <si>
    <t>B19DCCN267</t>
  </si>
  <si>
    <t>B19DCCN268</t>
  </si>
  <si>
    <t>B19DCCN282</t>
  </si>
  <si>
    <t>B19DCCN303</t>
  </si>
  <si>
    <t>Cao Thành</t>
  </si>
  <si>
    <t>B19DCCN310</t>
  </si>
  <si>
    <t>B19DCVT180</t>
  </si>
  <si>
    <t>Nhữ Đình</t>
  </si>
  <si>
    <t>B19DCAT097</t>
  </si>
  <si>
    <t>Phan Thế</t>
  </si>
  <si>
    <t>B19DCDT112</t>
  </si>
  <si>
    <t>B19DCDT115</t>
  </si>
  <si>
    <t>Phan Trung</t>
  </si>
  <si>
    <t>B19DCCN349</t>
  </si>
  <si>
    <t>Trần Nguyễn Trung</t>
  </si>
  <si>
    <t>B19DCCN351</t>
  </si>
  <si>
    <t>Vũ Trung</t>
  </si>
  <si>
    <t>B19DCCN377</t>
  </si>
  <si>
    <t>B19DCCN388</t>
  </si>
  <si>
    <t>Đỗ Thành</t>
  </si>
  <si>
    <t>B19DCCN395</t>
  </si>
  <si>
    <t>Ngô Thế</t>
  </si>
  <si>
    <t>B19DCVT240</t>
  </si>
  <si>
    <t>B19DCCN414</t>
  </si>
  <si>
    <t>Đoàn Tuấn</t>
  </si>
  <si>
    <t>B19DCCN415</t>
  </si>
  <si>
    <t>Lê Công</t>
  </si>
  <si>
    <t>B19DCDT139</t>
  </si>
  <si>
    <t>Nguyễn Doãn</t>
  </si>
  <si>
    <t>B19DCVT254</t>
  </si>
  <si>
    <t>B19DCVT256</t>
  </si>
  <si>
    <t>Phan Thanh</t>
  </si>
  <si>
    <t>B19DCVT260</t>
  </si>
  <si>
    <t>Mừng</t>
  </si>
  <si>
    <t>B19DCCN444</t>
  </si>
  <si>
    <t>Nguyễn Thị Lê</t>
  </si>
  <si>
    <t>Na</t>
  </si>
  <si>
    <t>B19DCDT153</t>
  </si>
  <si>
    <t>B19DCCN473</t>
  </si>
  <si>
    <t>Nguyễn Bích</t>
  </si>
  <si>
    <t>B19DCCN458</t>
  </si>
  <si>
    <t>Nguyễn Tiến Hải</t>
  </si>
  <si>
    <t>B19DCAT142</t>
  </si>
  <si>
    <t>Vũ Lan</t>
  </si>
  <si>
    <t>B19DCCN522</t>
  </si>
  <si>
    <t>B19DCCN543</t>
  </si>
  <si>
    <t>B19DCAT182</t>
  </si>
  <si>
    <t>Đỗ Thị Thu</t>
  </si>
  <si>
    <t>B19DCDT227</t>
  </si>
  <si>
    <t>Đoàn Quyết</t>
  </si>
  <si>
    <t>B19DCCN667</t>
  </si>
  <si>
    <t>B19DCVT394</t>
  </si>
  <si>
    <t>B19DCAT192</t>
  </si>
  <si>
    <t>Thọ</t>
  </si>
  <si>
    <t>B19DCCN676</t>
  </si>
  <si>
    <t>Thoa</t>
  </si>
  <si>
    <t>B19DCAT194</t>
  </si>
  <si>
    <t>B19DCVT399</t>
  </si>
  <si>
    <t>Lương Đức</t>
  </si>
  <si>
    <t>Thuận</t>
  </si>
  <si>
    <t>B19DCCN577</t>
  </si>
  <si>
    <t>Bùi Tân</t>
  </si>
  <si>
    <t>B19DCVT320</t>
  </si>
  <si>
    <t>B19DCVT321</t>
  </si>
  <si>
    <t>Nguyễn Tần</t>
  </si>
  <si>
    <t>B19DCCN586</t>
  </si>
  <si>
    <t>B19DCCN704</t>
  </si>
  <si>
    <t>B19DCCN599</t>
  </si>
  <si>
    <t>B19DCVT342</t>
  </si>
  <si>
    <t>B19DCCN616</t>
  </si>
  <si>
    <t>B19DCCN617</t>
  </si>
  <si>
    <t>B19DCVT353</t>
  </si>
  <si>
    <t>B19DCVT366</t>
  </si>
  <si>
    <t>B19DCCN719</t>
  </si>
  <si>
    <t>Khuất Quang</t>
  </si>
  <si>
    <t>B19DCAT206</t>
  </si>
  <si>
    <t>B19DCVT443</t>
  </si>
  <si>
    <t>B19DCVT448</t>
  </si>
  <si>
    <t>B19DCCN025</t>
  </si>
  <si>
    <t>Nguyễn Hoàng Tuấn</t>
  </si>
  <si>
    <t>BAS1224_01</t>
  </si>
  <si>
    <t>B19DCAT006</t>
  </si>
  <si>
    <t>Nguyễn Lê Đức</t>
  </si>
  <si>
    <t>B19DCAT009</t>
  </si>
  <si>
    <t>Phạm Đình Tuấn</t>
  </si>
  <si>
    <t>B19DCAT010</t>
  </si>
  <si>
    <t>B19DCCN050</t>
  </si>
  <si>
    <t>B19DCCN055</t>
  </si>
  <si>
    <t>Bùi Nguyễn Huy</t>
  </si>
  <si>
    <t>B19DCCN060</t>
  </si>
  <si>
    <t>Phan Vương</t>
  </si>
  <si>
    <t>B19DCCN061</t>
  </si>
  <si>
    <t>Thân Tuấn</t>
  </si>
  <si>
    <t>B19DCCN068</t>
  </si>
  <si>
    <t>B19DCCN070</t>
  </si>
  <si>
    <t>Phạm Đức</t>
  </si>
  <si>
    <t>B19DCCN095</t>
  </si>
  <si>
    <t>B19DCCN099</t>
  </si>
  <si>
    <t>B19DCCN106</t>
  </si>
  <si>
    <t>Chức</t>
  </si>
  <si>
    <t>B19DCAT016</t>
  </si>
  <si>
    <t>B19DCCN080</t>
  </si>
  <si>
    <t>B19DCCN118</t>
  </si>
  <si>
    <t>Dương Văn</t>
  </si>
  <si>
    <t>Duân</t>
  </si>
  <si>
    <t>B19DCCN122</t>
  </si>
  <si>
    <t>B19DCCN139</t>
  </si>
  <si>
    <t>B19DCCN148</t>
  </si>
  <si>
    <t>Đặng Thanh</t>
  </si>
  <si>
    <t>B19DCCN163</t>
  </si>
  <si>
    <t>Đan</t>
  </si>
  <si>
    <t>B19DCCN180</t>
  </si>
  <si>
    <t>Phan Đình</t>
  </si>
  <si>
    <t>B18DCDT051</t>
  </si>
  <si>
    <t>B18DCCN152</t>
  </si>
  <si>
    <t>D18CQCN09-B</t>
  </si>
  <si>
    <t>B19DCCN189</t>
  </si>
  <si>
    <t>Đỗ Như</t>
  </si>
  <si>
    <t>B19DCCN193</t>
  </si>
  <si>
    <t>B19DCCN199</t>
  </si>
  <si>
    <t>B18DCAT060</t>
  </si>
  <si>
    <t>B19DCCN205</t>
  </si>
  <si>
    <t>Lê Trường</t>
  </si>
  <si>
    <t>B19DCCN210</t>
  </si>
  <si>
    <t>Giới</t>
  </si>
  <si>
    <t>B19DCCN211</t>
  </si>
  <si>
    <t>B19DCCN214</t>
  </si>
  <si>
    <t>Đinh Công</t>
  </si>
  <si>
    <t>B19DCCN220</t>
  </si>
  <si>
    <t>B19DCCN223</t>
  </si>
  <si>
    <t>Thi Linh</t>
  </si>
  <si>
    <t>B19DCCN234</t>
  </si>
  <si>
    <t>Nguyễn Cao</t>
  </si>
  <si>
    <t>B19DCAT067</t>
  </si>
  <si>
    <t>Nghiêm Đức</t>
  </si>
  <si>
    <t>B19DCCN255</t>
  </si>
  <si>
    <t>B19DCCN259</t>
  </si>
  <si>
    <t>B19DCAT076</t>
  </si>
  <si>
    <t>Phan Thị Kim</t>
  </si>
  <si>
    <t>B19DCCN271</t>
  </si>
  <si>
    <t>B19DCCN304</t>
  </si>
  <si>
    <t>Chu Đức</t>
  </si>
  <si>
    <t>B16DCVT157</t>
  </si>
  <si>
    <t>Hoàng Mỹ</t>
  </si>
  <si>
    <t>D16CQVT05-B</t>
  </si>
  <si>
    <t>B19DCCN307</t>
  </si>
  <si>
    <t>Lý Mạnh</t>
  </si>
  <si>
    <t>B19DCCN331</t>
  </si>
  <si>
    <t>B19DCAT103</t>
  </si>
  <si>
    <t>B19DCAT107</t>
  </si>
  <si>
    <t>B19DCCN362</t>
  </si>
  <si>
    <t>B19DCCN345</t>
  </si>
  <si>
    <t>B19DCAT102</t>
  </si>
  <si>
    <t>B19DCCN374</t>
  </si>
  <si>
    <t>B19DCCN375</t>
  </si>
  <si>
    <t>Nguyễn Hoài</t>
  </si>
  <si>
    <t>B19DCCN386</t>
  </si>
  <si>
    <t>B19DCCN403</t>
  </si>
  <si>
    <t>B19DCAT123</t>
  </si>
  <si>
    <t>B19DCCN422</t>
  </si>
  <si>
    <t>B19DCCN427</t>
  </si>
  <si>
    <t>Đỗ Nhật</t>
  </si>
  <si>
    <t>B19DCCN439</t>
  </si>
  <si>
    <t>B19DCAT127</t>
  </si>
  <si>
    <t>B19DCCN449</t>
  </si>
  <si>
    <t>B19DCCN456</t>
  </si>
  <si>
    <t>B19DCCN462</t>
  </si>
  <si>
    <t>B19DCCN466</t>
  </si>
  <si>
    <t>B19DCCN472</t>
  </si>
  <si>
    <t>Mai Xuân</t>
  </si>
  <si>
    <t>B19DCCN475</t>
  </si>
  <si>
    <t>Lại An</t>
  </si>
  <si>
    <t>B19DCCN487</t>
  </si>
  <si>
    <t>Nguyễn Thị Yến</t>
  </si>
  <si>
    <t>B19DCAT136</t>
  </si>
  <si>
    <t>Cao Xuân</t>
  </si>
  <si>
    <t>B19DCCN514</t>
  </si>
  <si>
    <t>B19DCAT143</t>
  </si>
  <si>
    <t>B19DCAT144</t>
  </si>
  <si>
    <t>B19DCCN530</t>
  </si>
  <si>
    <t>B19DCAT147</t>
  </si>
  <si>
    <t>Quốc</t>
  </si>
  <si>
    <t>B19DCCN570</t>
  </si>
  <si>
    <t>Đào Công</t>
  </si>
  <si>
    <t>B19DCAT179</t>
  </si>
  <si>
    <t>B19DCCN581</t>
  </si>
  <si>
    <t>B19DCCN587</t>
  </si>
  <si>
    <t>Tĩnh</t>
  </si>
  <si>
    <t>B19DCCN688</t>
  </si>
  <si>
    <t>B19DCCN693</t>
  </si>
  <si>
    <t>B19DCCN698</t>
  </si>
  <si>
    <t>B19DCCN701</t>
  </si>
  <si>
    <t>B19DCCN706</t>
  </si>
  <si>
    <t>B19DCCN707</t>
  </si>
  <si>
    <t>B19DCCN708</t>
  </si>
  <si>
    <t>Trưởng</t>
  </si>
  <si>
    <t>B19DCAT165</t>
  </si>
  <si>
    <t>Vũ Thanh</t>
  </si>
  <si>
    <t>B19DCAT168</t>
  </si>
  <si>
    <t>B19DCCN623</t>
  </si>
  <si>
    <t>Lê Tài</t>
  </si>
  <si>
    <t>Tuệ</t>
  </si>
  <si>
    <t>B17DCCN670</t>
  </si>
  <si>
    <t>D17CQCN10-B</t>
  </si>
  <si>
    <t>B19DCCN717</t>
  </si>
  <si>
    <t>Đinh Quang</t>
  </si>
  <si>
    <t>B19DCCN723</t>
  </si>
  <si>
    <t>B19DCCN005</t>
  </si>
  <si>
    <t>Nguyễn Trần Bình</t>
  </si>
  <si>
    <t>BAS1224_02</t>
  </si>
  <si>
    <t>B19DCCN010</t>
  </si>
  <si>
    <t>Đặng Thị Vân</t>
  </si>
  <si>
    <t>B19DCAT004</t>
  </si>
  <si>
    <t>Hà Thị Ngọc</t>
  </si>
  <si>
    <t>B19DCCN014</t>
  </si>
  <si>
    <t>B19DCCN034</t>
  </si>
  <si>
    <t>B19DCCN063</t>
  </si>
  <si>
    <t>Bắc</t>
  </si>
  <si>
    <t>B19DCCN098</t>
  </si>
  <si>
    <t>B19DCCN101</t>
  </si>
  <si>
    <t>B19DCAT024</t>
  </si>
  <si>
    <t>B19DCAT021</t>
  </si>
  <si>
    <t>B19DCCN092</t>
  </si>
  <si>
    <t>B19DCCN123</t>
  </si>
  <si>
    <t>B19DCCN144</t>
  </si>
  <si>
    <t>Trần Khương</t>
  </si>
  <si>
    <t>B19DCCN146</t>
  </si>
  <si>
    <t>Bùi Hải</t>
  </si>
  <si>
    <t>B19DCCN149</t>
  </si>
  <si>
    <t>B19DCCN164</t>
  </si>
  <si>
    <t>B19DCCN169</t>
  </si>
  <si>
    <t>B19DCAT036</t>
  </si>
  <si>
    <t>B19DCCN183</t>
  </si>
  <si>
    <t>B19DCCN184</t>
  </si>
  <si>
    <t>Hoàng Duy</t>
  </si>
  <si>
    <t>B19DCCN186</t>
  </si>
  <si>
    <t>B19DCAT047</t>
  </si>
  <si>
    <t>B19DCAT048</t>
  </si>
  <si>
    <t>B19DCCN200</t>
  </si>
  <si>
    <t>Trần Ngọc Minh</t>
  </si>
  <si>
    <t>B19DCCN202</t>
  </si>
  <si>
    <t>Trần Việt</t>
  </si>
  <si>
    <t>B19DCCN203</t>
  </si>
  <si>
    <t>Võ Văn</t>
  </si>
  <si>
    <t>B19DCAT051</t>
  </si>
  <si>
    <t>Đặng Thị Hồng</t>
  </si>
  <si>
    <t>Gấm</t>
  </si>
  <si>
    <t>B19DCCN207</t>
  </si>
  <si>
    <t>Mai Thị Trà</t>
  </si>
  <si>
    <t>B19DCAT055</t>
  </si>
  <si>
    <t>Kiều Tiến</t>
  </si>
  <si>
    <t>B19DCCN221</t>
  </si>
  <si>
    <t>B19DCAT072</t>
  </si>
  <si>
    <t>B19DCAT075</t>
  </si>
  <si>
    <t>Phạm Khải</t>
  </si>
  <si>
    <t>B19DCCN285</t>
  </si>
  <si>
    <t>B19DCCN293</t>
  </si>
  <si>
    <t>Hà Duyên</t>
  </si>
  <si>
    <t>B19DCAT084</t>
  </si>
  <si>
    <t>B19DCAT092</t>
  </si>
  <si>
    <t>B19DCCN365</t>
  </si>
  <si>
    <t>Vương Minh</t>
  </si>
  <si>
    <t>Khuê</t>
  </si>
  <si>
    <t>B19DCAT101</t>
  </si>
  <si>
    <t>Nguyễn Chí</t>
  </si>
  <si>
    <t>B19DCCN352</t>
  </si>
  <si>
    <t>Kiệt</t>
  </si>
  <si>
    <t>B19DCCN367</t>
  </si>
  <si>
    <t>Nguyễn Bá Việt</t>
  </si>
  <si>
    <t>B19DCCN383</t>
  </si>
  <si>
    <t>Vũ Thị Thùy</t>
  </si>
  <si>
    <t>B19DCAT113</t>
  </si>
  <si>
    <t>Đặng Thế</t>
  </si>
  <si>
    <t>B19DCCN398</t>
  </si>
  <si>
    <t>B19DCAT119</t>
  </si>
  <si>
    <t>B18DCVT273</t>
  </si>
  <si>
    <t>Dương Tấn</t>
  </si>
  <si>
    <t>D18CQVT01-B</t>
  </si>
  <si>
    <t>B19DCCN429</t>
  </si>
  <si>
    <t>B19DCCN433</t>
  </si>
  <si>
    <t>B19DCAT125</t>
  </si>
  <si>
    <t>B19DCCN443</t>
  </si>
  <si>
    <t>B19DCCN448</t>
  </si>
  <si>
    <t>B19DCCN453</t>
  </si>
  <si>
    <t>B19DCCN489</t>
  </si>
  <si>
    <t>Lê Thị Tuyết</t>
  </si>
  <si>
    <t>B17DCAT157</t>
  </si>
  <si>
    <t>D17CQAT01-B</t>
  </si>
  <si>
    <t>B18DCAT205</t>
  </si>
  <si>
    <t>D18CQAT01-B</t>
  </si>
  <si>
    <t>B19DCCN562</t>
  </si>
  <si>
    <t>Trịnh Anh</t>
  </si>
  <si>
    <t>B19DCCN638</t>
  </si>
  <si>
    <t>Hồ Bá</t>
  </si>
  <si>
    <t>B19DCCN645</t>
  </si>
  <si>
    <t>B19DCAT176</t>
  </si>
  <si>
    <t>B19DCAT177</t>
  </si>
  <si>
    <t>B19DCAT183</t>
  </si>
  <si>
    <t>B19DCAT186</t>
  </si>
  <si>
    <t>B19DCCN661</t>
  </si>
  <si>
    <t>B19DCAT188</t>
  </si>
  <si>
    <t>Phan Đức</t>
  </si>
  <si>
    <t>B19DCCN668</t>
  </si>
  <si>
    <t>B19DCCN671</t>
  </si>
  <si>
    <t>Ngô Tiến</t>
  </si>
  <si>
    <t>Thiệu</t>
  </si>
  <si>
    <t>B19DCCN672</t>
  </si>
  <si>
    <t>B19DCAT190</t>
  </si>
  <si>
    <t>Đào Cường</t>
  </si>
  <si>
    <t>B19DCCN677</t>
  </si>
  <si>
    <t>B19DCAT159</t>
  </si>
  <si>
    <t>Mai Hoàng</t>
  </si>
  <si>
    <t>B19DCAT160</t>
  </si>
  <si>
    <t>Tạ Quang</t>
  </si>
  <si>
    <t>B19DCCN690</t>
  </si>
  <si>
    <t>Trị</t>
  </si>
  <si>
    <t>B19DCAT200</t>
  </si>
  <si>
    <t>B19DCCN700</t>
  </si>
  <si>
    <t>Truyền</t>
  </si>
  <si>
    <t>B19DCCN705</t>
  </si>
  <si>
    <t>B19DCAT203</t>
  </si>
  <si>
    <t>Phùng Xuân</t>
  </si>
  <si>
    <t>B18DCCN548</t>
  </si>
  <si>
    <t>B19DCAT163</t>
  </si>
  <si>
    <t>B19DCCN610</t>
  </si>
  <si>
    <t>Khổng Duy</t>
  </si>
  <si>
    <t>B19DCAT166</t>
  </si>
  <si>
    <t>B19DCCN622</t>
  </si>
  <si>
    <t>Đỗ Trí</t>
  </si>
  <si>
    <t>B19DCAT169</t>
  </si>
  <si>
    <t>Doãn Thanh</t>
  </si>
  <si>
    <t>B19DCAT171</t>
  </si>
  <si>
    <t>B19DCAT172</t>
  </si>
  <si>
    <t>B19DCCN633</t>
  </si>
  <si>
    <t>B19DCAT207</t>
  </si>
  <si>
    <t>B19DCVT008</t>
  </si>
  <si>
    <t>An Tuấn</t>
  </si>
  <si>
    <t>BAS1224_03</t>
  </si>
  <si>
    <t>B19DCCN020</t>
  </si>
  <si>
    <t>Mai Tuấn</t>
  </si>
  <si>
    <t>B19DCDT011</t>
  </si>
  <si>
    <t>B19DCVT024</t>
  </si>
  <si>
    <t>B19DCCN059</t>
  </si>
  <si>
    <t>B19DCCN097</t>
  </si>
  <si>
    <t>B19DCCN079</t>
  </si>
  <si>
    <t>B19DCCN109</t>
  </si>
  <si>
    <t>B19DCDT030</t>
  </si>
  <si>
    <t>B19DCVT056</t>
  </si>
  <si>
    <t>B19DCVT066</t>
  </si>
  <si>
    <t>B18DCDT034</t>
  </si>
  <si>
    <t>D18CQDT02-B</t>
  </si>
  <si>
    <t>B19DCDT039</t>
  </si>
  <si>
    <t>B19DCCN160</t>
  </si>
  <si>
    <t>B19DCDT050</t>
  </si>
  <si>
    <t>B19DCCN177</t>
  </si>
  <si>
    <t>B19DCVT089</t>
  </si>
  <si>
    <t>B17DCAT046</t>
  </si>
  <si>
    <t>D17CQAT02-B</t>
  </si>
  <si>
    <t>B19DCVT108</t>
  </si>
  <si>
    <t>B19DCDT066</t>
  </si>
  <si>
    <t>Trương Nguyễn Trường</t>
  </si>
  <si>
    <t>B19DCVT110</t>
  </si>
  <si>
    <t>B19DCCN215</t>
  </si>
  <si>
    <t>B19DCVT115</t>
  </si>
  <si>
    <t>Nguyễn Sỹ</t>
  </si>
  <si>
    <t>B19DCVT116</t>
  </si>
  <si>
    <t>B19DCVT118</t>
  </si>
  <si>
    <t>Trần Nam</t>
  </si>
  <si>
    <t>B19DCCN231</t>
  </si>
  <si>
    <t>Trần Tiến</t>
  </si>
  <si>
    <t>B19DCAT064</t>
  </si>
  <si>
    <t>B19DCVT141</t>
  </si>
  <si>
    <t>Tạ Hữu</t>
  </si>
  <si>
    <t>B19DCDT082</t>
  </si>
  <si>
    <t>B19DCVT154</t>
  </si>
  <si>
    <t>Hà Huy</t>
  </si>
  <si>
    <t>B19DCDT100</t>
  </si>
  <si>
    <t>Trần Mạnh</t>
  </si>
  <si>
    <t>Hợp</t>
  </si>
  <si>
    <t>B19DCVT166</t>
  </si>
  <si>
    <t>B19DCAT083</t>
  </si>
  <si>
    <t>Triệu Xuân</t>
  </si>
  <si>
    <t>B19DCCN305</t>
  </si>
  <si>
    <t>B19DCVT172</t>
  </si>
  <si>
    <t>Hà Xuân</t>
  </si>
  <si>
    <t>B19DCCN309</t>
  </si>
  <si>
    <t>B19DCVT177</t>
  </si>
  <si>
    <t>B19DCVT182</t>
  </si>
  <si>
    <t>B19DCCN328</t>
  </si>
  <si>
    <t>B19DCDT111</t>
  </si>
  <si>
    <t>B19DCCN734</t>
  </si>
  <si>
    <t>Seng Aloun</t>
  </si>
  <si>
    <t>Khammavong</t>
  </si>
  <si>
    <t>B19DCDT118</t>
  </si>
  <si>
    <t>B19DCVT197</t>
  </si>
  <si>
    <t>B19DCDT121</t>
  </si>
  <si>
    <t>B19DCAT104</t>
  </si>
  <si>
    <t>B19DCVT204</t>
  </si>
  <si>
    <t>Luyện Vi Hữu</t>
  </si>
  <si>
    <t>Khiêm</t>
  </si>
  <si>
    <t>B19DCVT209</t>
  </si>
  <si>
    <t>Phạm Phúc</t>
  </si>
  <si>
    <t>B19DCVT223</t>
  </si>
  <si>
    <t>B19DCVT232</t>
  </si>
  <si>
    <t>B19DCCN394</t>
  </si>
  <si>
    <t>B19DCDT134</t>
  </si>
  <si>
    <t>B19DCVT241</t>
  </si>
  <si>
    <t>B19DCVT245</t>
  </si>
  <si>
    <t>B19DCDT137</t>
  </si>
  <si>
    <t>Hà Đức</t>
  </si>
  <si>
    <t>B19DCCN432</t>
  </si>
  <si>
    <t>B19DCVT250</t>
  </si>
  <si>
    <t>Ngô Vũ Phương</t>
  </si>
  <si>
    <t>B19DCVT252</t>
  </si>
  <si>
    <t>B19DCCN451</t>
  </si>
  <si>
    <t>B19DCVT266</t>
  </si>
  <si>
    <t>B19DCVT268</t>
  </si>
  <si>
    <t>B19DCVT271</t>
  </si>
  <si>
    <t>B16DCVT228</t>
  </si>
  <si>
    <t>Đỗ Hoàng Khôi</t>
  </si>
  <si>
    <t>D16CQVT04-B</t>
  </si>
  <si>
    <t>B19DCVT285</t>
  </si>
  <si>
    <t>B19DCDT166</t>
  </si>
  <si>
    <t>Bùi Hồng</t>
  </si>
  <si>
    <t>B19DCDT170</t>
  </si>
  <si>
    <t>B19DCAT140</t>
  </si>
  <si>
    <t>Ngô Khắc</t>
  </si>
  <si>
    <t>B19DCDT177</t>
  </si>
  <si>
    <t>Trần Vinh</t>
  </si>
  <si>
    <t>B19DCVT305</t>
  </si>
  <si>
    <t>Lưu Hữu</t>
  </si>
  <si>
    <t>B19DCAT148</t>
  </si>
  <si>
    <t>Sáng</t>
  </si>
  <si>
    <t>B19DCCN549</t>
  </si>
  <si>
    <t>Đinh Khắc</t>
  </si>
  <si>
    <t>B19DCAT152</t>
  </si>
  <si>
    <t>Ngô Hoàng Trường</t>
  </si>
  <si>
    <t>B19DCVT312</t>
  </si>
  <si>
    <t>B19DCVT313</t>
  </si>
  <si>
    <t>Mầu Văn</t>
  </si>
  <si>
    <t>B19DCVT381</t>
  </si>
  <si>
    <t>B19DCVT385</t>
  </si>
  <si>
    <t>B19DCVT395</t>
  </si>
  <si>
    <t>Thông</t>
  </si>
  <si>
    <t>B19DCVT329</t>
  </si>
  <si>
    <t>Long Đoàn Mạnh</t>
  </si>
  <si>
    <t>B18DCVT429</t>
  </si>
  <si>
    <t>Đặng Xuân</t>
  </si>
  <si>
    <t>D18CQVT05-B</t>
  </si>
  <si>
    <t>B19DCVT424</t>
  </si>
  <si>
    <t>B19DCDT202</t>
  </si>
  <si>
    <t>Đinh Minh</t>
  </si>
  <si>
    <t>B19DCCN607</t>
  </si>
  <si>
    <t>Đỗ Danh</t>
  </si>
  <si>
    <t>B19DCCN611</t>
  </si>
  <si>
    <t>B19DCCN712</t>
  </si>
  <si>
    <t>B19DCVT440</t>
  </si>
  <si>
    <t>Đường Phúc</t>
  </si>
  <si>
    <t>B19DCCN721</t>
  </si>
  <si>
    <t>B19DCDT257</t>
  </si>
  <si>
    <t>B19DCCN004</t>
  </si>
  <si>
    <t>BAS1224_04</t>
  </si>
  <si>
    <t>B19DCAT002</t>
  </si>
  <si>
    <t>B19DCDT008</t>
  </si>
  <si>
    <t>Nghiêm Bá Quang</t>
  </si>
  <si>
    <t>B18DCDT011</t>
  </si>
  <si>
    <t>B19DCVT017</t>
  </si>
  <si>
    <t>B19DCCN042</t>
  </si>
  <si>
    <t>B19DCCN048</t>
  </si>
  <si>
    <t>B18DCCN042</t>
  </si>
  <si>
    <t>Vũ Tuấn</t>
  </si>
  <si>
    <t>B19DCDT018</t>
  </si>
  <si>
    <t>B19DCAT014</t>
  </si>
  <si>
    <t>Lê Chí</t>
  </si>
  <si>
    <t>B19DCCN072</t>
  </si>
  <si>
    <t>B19DCDT022</t>
  </si>
  <si>
    <t>Bạch Xuân</t>
  </si>
  <si>
    <t>B19DCCN084</t>
  </si>
  <si>
    <t>B19DCVT038</t>
  </si>
  <si>
    <t>B19DCCN111</t>
  </si>
  <si>
    <t>B19DCCN120</t>
  </si>
  <si>
    <t>Đặng Quang</t>
  </si>
  <si>
    <t>B19DCCN126</t>
  </si>
  <si>
    <t>B19DCDT031</t>
  </si>
  <si>
    <t>B19DCCN127</t>
  </si>
  <si>
    <t>B19DCCN129</t>
  </si>
  <si>
    <t>B19DCCN153</t>
  </si>
  <si>
    <t>B19DCDT037</t>
  </si>
  <si>
    <t>B19DCAT210</t>
  </si>
  <si>
    <t>Trịnh Hoàng Ánh</t>
  </si>
  <si>
    <t>B19DCAT034</t>
  </si>
  <si>
    <t>Đạo</t>
  </si>
  <si>
    <t>B19DCAT039</t>
  </si>
  <si>
    <t>Trương Như</t>
  </si>
  <si>
    <t>B19DCAT049</t>
  </si>
  <si>
    <t>B17DCCN223</t>
  </si>
  <si>
    <t>Bạch Duy</t>
  </si>
  <si>
    <t>E17CQCN02-B</t>
  </si>
  <si>
    <t>B19DCDT075</t>
  </si>
  <si>
    <t>B19DCCN261</t>
  </si>
  <si>
    <t>B19DCAT074</t>
  </si>
  <si>
    <t>Đỗ Phạm</t>
  </si>
  <si>
    <t>B19DCCN294</t>
  </si>
  <si>
    <t>B19DCAT081</t>
  </si>
  <si>
    <t>B19DCCN311</t>
  </si>
  <si>
    <t>B19DCAT106</t>
  </si>
  <si>
    <t>B19DCCN358</t>
  </si>
  <si>
    <t>B19DCVT201</t>
  </si>
  <si>
    <t>B19DCCN360</t>
  </si>
  <si>
    <t>Mai Đăng</t>
  </si>
  <si>
    <t>B19DCVT210</t>
  </si>
  <si>
    <t>Phan Chí</t>
  </si>
  <si>
    <t>B19DCCN364</t>
  </si>
  <si>
    <t>B19DCCN376</t>
  </si>
  <si>
    <t>B19DCDT132</t>
  </si>
  <si>
    <t>B19DCVT225</t>
  </si>
  <si>
    <t>Trần Hải</t>
  </si>
  <si>
    <t>B19DCCN385</t>
  </si>
  <si>
    <t>B19DCVT230</t>
  </si>
  <si>
    <t>B19DCCN393</t>
  </si>
  <si>
    <t>Nghiêm Xuân</t>
  </si>
  <si>
    <t>B19DCVT233</t>
  </si>
  <si>
    <t>B19DCAT118</t>
  </si>
  <si>
    <t>B19DCVT246</t>
  </si>
  <si>
    <t>B19DCAT124</t>
  </si>
  <si>
    <t>B17DCVT236</t>
  </si>
  <si>
    <t>B19DCVT267</t>
  </si>
  <si>
    <t>B19DCDT152</t>
  </si>
  <si>
    <t>B19DCDT157</t>
  </si>
  <si>
    <t>Đặng Phương</t>
  </si>
  <si>
    <t>Năm</t>
  </si>
  <si>
    <t>B19DCCN461</t>
  </si>
  <si>
    <t>B19DCCN465</t>
  </si>
  <si>
    <t>Nguyễn Chính</t>
  </si>
  <si>
    <t>B19DCVT274</t>
  </si>
  <si>
    <t>B19DCCN495</t>
  </si>
  <si>
    <t>Phạm Kim</t>
  </si>
  <si>
    <t>B19DCCN527</t>
  </si>
  <si>
    <t>B19DCDT179</t>
  </si>
  <si>
    <t>Ngô Ngọc</t>
  </si>
  <si>
    <t>B19DCCN546</t>
  </si>
  <si>
    <t>Phạm Thị Diễm</t>
  </si>
  <si>
    <t>B19DCAT153</t>
  </si>
  <si>
    <t>B19DCCN557</t>
  </si>
  <si>
    <t>B19DCAT155</t>
  </si>
  <si>
    <t>Nguyễn Vũ Tuấn</t>
  </si>
  <si>
    <t>B19DCVT311</t>
  </si>
  <si>
    <t>B19DCCN642</t>
  </si>
  <si>
    <t>Phan Duy</t>
  </si>
  <si>
    <t>B19DCAT173</t>
  </si>
  <si>
    <t>Phùng Mạnh</t>
  </si>
  <si>
    <t>B19DCDT219</t>
  </si>
  <si>
    <t>B19DCCN653</t>
  </si>
  <si>
    <t>B19DCAT180</t>
  </si>
  <si>
    <t>B19DCAT162</t>
  </si>
  <si>
    <t>B19DCVT333</t>
  </si>
  <si>
    <t>Doãn Quốc</t>
  </si>
  <si>
    <t>B19DCVT411</t>
  </si>
  <si>
    <t>B19DCVT412</t>
  </si>
  <si>
    <t>B19DCVT413</t>
  </si>
  <si>
    <t>B19DCCN697</t>
  </si>
  <si>
    <t>B19DCVT420</t>
  </si>
  <si>
    <t>B19DCDT204</t>
  </si>
  <si>
    <t>B19DCCN619</t>
  </si>
  <si>
    <t>B19DCCN624</t>
  </si>
  <si>
    <t>Tạ Xuân</t>
  </si>
  <si>
    <t>B19DCCN630</t>
  </si>
  <si>
    <t>B19DCVT356</t>
  </si>
  <si>
    <t>B19DCVT358</t>
  </si>
  <si>
    <t>B19DCVT361</t>
  </si>
  <si>
    <t>Lại Văn</t>
  </si>
  <si>
    <t>B19DCCN711</t>
  </si>
  <si>
    <t>B19DCVT435</t>
  </si>
  <si>
    <t>B19DCCN722</t>
  </si>
  <si>
    <t>Phùng Quang</t>
  </si>
  <si>
    <t>B19DCDT003</t>
  </si>
  <si>
    <t>BAS1224_05</t>
  </si>
  <si>
    <t>B19DCDT005</t>
  </si>
  <si>
    <t>Bùi Hữu Tuấn</t>
  </si>
  <si>
    <t>B19DCDT010</t>
  </si>
  <si>
    <t>B19DCVT013</t>
  </si>
  <si>
    <t>B19DCCN026</t>
  </si>
  <si>
    <t>Nguyễn Hồng Sơn</t>
  </si>
  <si>
    <t>B19DCCN036</t>
  </si>
  <si>
    <t>Nguyễn Vũ Quang</t>
  </si>
  <si>
    <t>B19DCVT016</t>
  </si>
  <si>
    <t>B19DCVT018</t>
  </si>
  <si>
    <t>B19DCCN051</t>
  </si>
  <si>
    <t>B19DCVT023</t>
  </si>
  <si>
    <t>Dương Thanh</t>
  </si>
  <si>
    <t>Ba</t>
  </si>
  <si>
    <t>B19DCVT029</t>
  </si>
  <si>
    <t>Trịnh Tiến</t>
  </si>
  <si>
    <t>B19DCCN107</t>
  </si>
  <si>
    <t>B19DCDT023</t>
  </si>
  <si>
    <t>B19DCCN085</t>
  </si>
  <si>
    <t>B19DCCN117</t>
  </si>
  <si>
    <t>Vương Đình</t>
  </si>
  <si>
    <t>Doanh</t>
  </si>
  <si>
    <t>B19DCCN133</t>
  </si>
  <si>
    <t>Phan Việt</t>
  </si>
  <si>
    <t>B19DCVT060</t>
  </si>
  <si>
    <t>B19DCDT035</t>
  </si>
  <si>
    <t>Lưu Ánh</t>
  </si>
  <si>
    <t>B19DCCN154</t>
  </si>
  <si>
    <t>Nguyễn Nam</t>
  </si>
  <si>
    <t>B18DCDT040</t>
  </si>
  <si>
    <t>D18CQDT04-B</t>
  </si>
  <si>
    <t>B19DCVT076</t>
  </si>
  <si>
    <t>Đinh Mạnh</t>
  </si>
  <si>
    <t>B19DCDT047</t>
  </si>
  <si>
    <t>B19DCDT048</t>
  </si>
  <si>
    <t>Nguyễn Đắc</t>
  </si>
  <si>
    <t>B19DCCN174</t>
  </si>
  <si>
    <t>B19DCCN178</t>
  </si>
  <si>
    <t>B19DCVT093</t>
  </si>
  <si>
    <t>B19DCVT100</t>
  </si>
  <si>
    <t>Phạm Hồng</t>
  </si>
  <si>
    <t>B19DCCN197</t>
  </si>
  <si>
    <t>Phạm Trần</t>
  </si>
  <si>
    <t>B19DCAT052</t>
  </si>
  <si>
    <t>Hán Việt</t>
  </si>
  <si>
    <t>B19DCCN217</t>
  </si>
  <si>
    <t>B19DCVT119</t>
  </si>
  <si>
    <t>Trần Quý</t>
  </si>
  <si>
    <t>B19DCCN229</t>
  </si>
  <si>
    <t>B19DCVT123</t>
  </si>
  <si>
    <t>Hoàng Vinh</t>
  </si>
  <si>
    <t>B19DCCN244</t>
  </si>
  <si>
    <t>B19DCCN257</t>
  </si>
  <si>
    <t>Từ Hải</t>
  </si>
  <si>
    <t>B19DCCN262</t>
  </si>
  <si>
    <t>B19DCCN288</t>
  </si>
  <si>
    <t>Huân</t>
  </si>
  <si>
    <t>B19DCCN289</t>
  </si>
  <si>
    <t>Cam Hoàng</t>
  </si>
  <si>
    <t>Huấn</t>
  </si>
  <si>
    <t>B19DCDT101</t>
  </si>
  <si>
    <t>B19DCCN292</t>
  </si>
  <si>
    <t>B19DCVT175</t>
  </si>
  <si>
    <t>B19DCCN308</t>
  </si>
  <si>
    <t>B19DCCN316</t>
  </si>
  <si>
    <t>B19DCCN329</t>
  </si>
  <si>
    <t>Phan Thiên</t>
  </si>
  <si>
    <t>B19DCCN334</t>
  </si>
  <si>
    <t>B19DCCN343</t>
  </si>
  <si>
    <t>Trần Danh</t>
  </si>
  <si>
    <t>Hữu</t>
  </si>
  <si>
    <t>B19DCVT191</t>
  </si>
  <si>
    <t>Kết</t>
  </si>
  <si>
    <t>B19DCCN368</t>
  </si>
  <si>
    <t>B19DCCN384</t>
  </si>
  <si>
    <t>Lĩnh</t>
  </si>
  <si>
    <t>B19DCAT116</t>
  </si>
  <si>
    <t>B19DCVT237</t>
  </si>
  <si>
    <t>B19DCVT243</t>
  </si>
  <si>
    <t>B19DCDT144</t>
  </si>
  <si>
    <t>B19DCDT145</t>
  </si>
  <si>
    <t>B19DCDT154</t>
  </si>
  <si>
    <t>B19DCCN478</t>
  </si>
  <si>
    <t>B19DCDT165</t>
  </si>
  <si>
    <t>Đàm Trọng</t>
  </si>
  <si>
    <t>B19DCCN498</t>
  </si>
  <si>
    <t>B19DCDT172</t>
  </si>
  <si>
    <t>B19DCCN519</t>
  </si>
  <si>
    <t>Chu Ngọc</t>
  </si>
  <si>
    <t>B19DCVT304</t>
  </si>
  <si>
    <t>B19DCCN548</t>
  </si>
  <si>
    <t>Đinh Hoàng</t>
  </si>
  <si>
    <t>B19DCAT156</t>
  </si>
  <si>
    <t>B19DCCN566</t>
  </si>
  <si>
    <t>B19DCCN641</t>
  </si>
  <si>
    <t>B19DCAT185</t>
  </si>
  <si>
    <t>B19DCVT382</t>
  </si>
  <si>
    <t>Ngô Công</t>
  </si>
  <si>
    <t>B19DCCN660</t>
  </si>
  <si>
    <t>B19DCCN662</t>
  </si>
  <si>
    <t>Tào Văn</t>
  </si>
  <si>
    <t>B19DCCN674</t>
  </si>
  <si>
    <t>B19DCVT393</t>
  </si>
  <si>
    <t>B19DCVT398</t>
  </si>
  <si>
    <t>Phùng Văn</t>
  </si>
  <si>
    <t>B19DCVT324</t>
  </si>
  <si>
    <t>B19DCVT326</t>
  </si>
  <si>
    <t>Tiệp</t>
  </si>
  <si>
    <t>B19DCVT327</t>
  </si>
  <si>
    <t>Trương Văn</t>
  </si>
  <si>
    <t>Tính</t>
  </si>
  <si>
    <t>B19DCCN592</t>
  </si>
  <si>
    <t>B19DCVT417</t>
  </si>
  <si>
    <t>B19DCDT250</t>
  </si>
  <si>
    <t>B19DCAT164</t>
  </si>
  <si>
    <t>Phạm Bá</t>
  </si>
  <si>
    <t>B19DCVT347</t>
  </si>
  <si>
    <t>B19DCDT207</t>
  </si>
  <si>
    <t>B19DCVT437</t>
  </si>
  <si>
    <t>B19DCCN716</t>
  </si>
  <si>
    <t>B19DCCN002</t>
  </si>
  <si>
    <t>Đặng Bình</t>
  </si>
  <si>
    <t>BAS1224_06</t>
  </si>
  <si>
    <t>B18DCCN001</t>
  </si>
  <si>
    <t>B19DCVT004</t>
  </si>
  <si>
    <t>Nguyễn Văn Trường</t>
  </si>
  <si>
    <t>B19DCCN012</t>
  </si>
  <si>
    <t>Đỗ Kim</t>
  </si>
  <si>
    <t>B19DCCN030</t>
  </si>
  <si>
    <t>B19DCVT020</t>
  </si>
  <si>
    <t>Vũ Đức Tiến</t>
  </si>
  <si>
    <t>B19DCCN049</t>
  </si>
  <si>
    <t>Vũ Trường</t>
  </si>
  <si>
    <t>B19DCCN069</t>
  </si>
  <si>
    <t>B19DCVT031</t>
  </si>
  <si>
    <t>Ma Đức</t>
  </si>
  <si>
    <t>B19DCVT047</t>
  </si>
  <si>
    <t>B19DCVT032</t>
  </si>
  <si>
    <t>B19DCCN086</t>
  </si>
  <si>
    <t>Nguyễn Tú</t>
  </si>
  <si>
    <t>B19DCVT052</t>
  </si>
  <si>
    <t>Duẩn</t>
  </si>
  <si>
    <t>B19DCAT028</t>
  </si>
  <si>
    <t>B19DCCN131</t>
  </si>
  <si>
    <t>B19DCCN141</t>
  </si>
  <si>
    <t>Nguyễn Vũ</t>
  </si>
  <si>
    <t>B19DCDT041</t>
  </si>
  <si>
    <t>Trần Ánh</t>
  </si>
  <si>
    <t>B19DCVT071</t>
  </si>
  <si>
    <t>B19DCDT042</t>
  </si>
  <si>
    <t>B19DCDT054</t>
  </si>
  <si>
    <t>B19DCVT094</t>
  </si>
  <si>
    <t>Nghiêm Phú</t>
  </si>
  <si>
    <t>B19DCVT105</t>
  </si>
  <si>
    <t>B19DCCN232</t>
  </si>
  <si>
    <t>Hiến</t>
  </si>
  <si>
    <t>B19DCAT065</t>
  </si>
  <si>
    <t>B19DCCN242</t>
  </si>
  <si>
    <t>Đỗ Việt Trung</t>
  </si>
  <si>
    <t>B19DCDT081</t>
  </si>
  <si>
    <t>B19DCCN273</t>
  </si>
  <si>
    <t>B19DCCN281</t>
  </si>
  <si>
    <t>B19DCCN297</t>
  </si>
  <si>
    <t>B19DCAT082</t>
  </si>
  <si>
    <t>B19DCCN299</t>
  </si>
  <si>
    <t>B19DCCN729</t>
  </si>
  <si>
    <t>Mạc Thế</t>
  </si>
  <si>
    <t>B19DCCN325</t>
  </si>
  <si>
    <t>Trương Mạnh</t>
  </si>
  <si>
    <t>B19DCDT116</t>
  </si>
  <si>
    <t>B19DCCN361</t>
  </si>
  <si>
    <t>B19DCCN369</t>
  </si>
  <si>
    <t>B19DCAT110</t>
  </si>
  <si>
    <t>Châu Phan Hoài</t>
  </si>
  <si>
    <t>B19DCVT220</t>
  </si>
  <si>
    <t>B19DCCN390</t>
  </si>
  <si>
    <t>Lê Kinh Phi</t>
  </si>
  <si>
    <t>B19DCCN412</t>
  </si>
  <si>
    <t>B19DCCN421</t>
  </si>
  <si>
    <t>B19DCCN435</t>
  </si>
  <si>
    <t>B19DCCN436</t>
  </si>
  <si>
    <t>B19DCCN437</t>
  </si>
  <si>
    <t>B19DCCN446</t>
  </si>
  <si>
    <t>B19DCVT275</t>
  </si>
  <si>
    <t>B19DCCN476</t>
  </si>
  <si>
    <t>B19DCCN504</t>
  </si>
  <si>
    <t>Đào Trọng</t>
  </si>
  <si>
    <t>B19DCDT171</t>
  </si>
  <si>
    <t>B19DCCN528</t>
  </si>
  <si>
    <t>B19DCCN540</t>
  </si>
  <si>
    <t>Trần Vũ Minh</t>
  </si>
  <si>
    <t>B19DCVT306</t>
  </si>
  <si>
    <t>Phạm Vũ</t>
  </si>
  <si>
    <t>Sắc</t>
  </si>
  <si>
    <t>B19DCAT150</t>
  </si>
  <si>
    <t>B19DCCN550</t>
  </si>
  <si>
    <t>B19DCCN556</t>
  </si>
  <si>
    <t>B19DCVT309</t>
  </si>
  <si>
    <t>B19DCDT221</t>
  </si>
  <si>
    <t>B19DCCN651</t>
  </si>
  <si>
    <t>Ngô Việt</t>
  </si>
  <si>
    <t>B19DCDT229</t>
  </si>
  <si>
    <t>Lại Việt</t>
  </si>
  <si>
    <t>B19DCCN657</t>
  </si>
  <si>
    <t>Lê Đại</t>
  </si>
  <si>
    <t>B19DCVT390</t>
  </si>
  <si>
    <t>Hà Minh</t>
  </si>
  <si>
    <t>B19DCDT241</t>
  </si>
  <si>
    <t>Phạm Khắc</t>
  </si>
  <si>
    <t>B19DCCN732</t>
  </si>
  <si>
    <t>Lăng Văn</t>
  </si>
  <si>
    <t>B19DCCN578</t>
  </si>
  <si>
    <t>Nguyễn Sỹ Hữu</t>
  </si>
  <si>
    <t>B19DCCN590</t>
  </si>
  <si>
    <t>B19DCVT408</t>
  </si>
  <si>
    <t>Đoàn Thế Mạnh</t>
  </si>
  <si>
    <t>B19DCVT409</t>
  </si>
  <si>
    <t>Vũ Trọng Trần</t>
  </si>
  <si>
    <t>B19DCCN691</t>
  </si>
  <si>
    <t>Triều</t>
  </si>
  <si>
    <t>B19DCCN695</t>
  </si>
  <si>
    <t>Trịnh Quốc</t>
  </si>
  <si>
    <t>B19DCDT247</t>
  </si>
  <si>
    <t>B19DCCN703</t>
  </si>
  <si>
    <t>B19DCVT425</t>
  </si>
  <si>
    <t>B19DCCN602</t>
  </si>
  <si>
    <t>B19DCVT337</t>
  </si>
  <si>
    <t>Vũ Trọng</t>
  </si>
  <si>
    <t>B19DCAT167</t>
  </si>
  <si>
    <t>B19DCVT346</t>
  </si>
  <si>
    <t>Trần Huy</t>
  </si>
  <si>
    <t>B19DCCN631</t>
  </si>
  <si>
    <t>B19DCAT204</t>
  </si>
  <si>
    <t>Cao Huy</t>
  </si>
  <si>
    <t>Ứng</t>
  </si>
  <si>
    <t>B19DCVT427</t>
  </si>
  <si>
    <t>Văn</t>
  </si>
  <si>
    <t>B19DCVT429</t>
  </si>
  <si>
    <t>B19DCVT430</t>
  </si>
  <si>
    <t>Lê Xuân</t>
  </si>
  <si>
    <t>B19DCCN714</t>
  </si>
  <si>
    <t>B19DCCN715</t>
  </si>
  <si>
    <t>B19DCCN720</t>
  </si>
  <si>
    <t>B19DCDT006</t>
  </si>
  <si>
    <t>BAS1224_07</t>
  </si>
  <si>
    <t>B19DCCN054</t>
  </si>
  <si>
    <t>B19DCVT026</t>
  </si>
  <si>
    <t>B19DCDT019</t>
  </si>
  <si>
    <t>B19DCCN066</t>
  </si>
  <si>
    <t>B19DCAT022</t>
  </si>
  <si>
    <t>B19DCVT048</t>
  </si>
  <si>
    <t>Chung</t>
  </si>
  <si>
    <t>B19DCCN076</t>
  </si>
  <si>
    <t>B19DCVT036</t>
  </si>
  <si>
    <t>B19DCCN087</t>
  </si>
  <si>
    <t>B19DCDT027</t>
  </si>
  <si>
    <t>Đinh Tiến</t>
  </si>
  <si>
    <t>B19DCCN112</t>
  </si>
  <si>
    <t>Đào Bích</t>
  </si>
  <si>
    <t>B19DCVT051</t>
  </si>
  <si>
    <t>B19DCCN125</t>
  </si>
  <si>
    <t>B19DCCN156</t>
  </si>
  <si>
    <t>B19DCCN159</t>
  </si>
  <si>
    <t>Trần Thị Thùy</t>
  </si>
  <si>
    <t>B19DCVT072</t>
  </si>
  <si>
    <t>Trịnh Vinh</t>
  </si>
  <si>
    <t>B19DCVT080</t>
  </si>
  <si>
    <t>B19DCAT044</t>
  </si>
  <si>
    <t>Hoàng Ngọc Việt</t>
  </si>
  <si>
    <t>B19DCDT061</t>
  </si>
  <si>
    <t>B19DCVT096</t>
  </si>
  <si>
    <t>B19DCVT106</t>
  </si>
  <si>
    <t>Trương Tiến</t>
  </si>
  <si>
    <t>B19DCVT112</t>
  </si>
  <si>
    <t>Phạm Chu Hải</t>
  </si>
  <si>
    <t>B19DCVT114</t>
  </si>
  <si>
    <t>B19DCCN227</t>
  </si>
  <si>
    <t>B19DCCN230</t>
  </si>
  <si>
    <t>B19DCDT073</t>
  </si>
  <si>
    <t>Nguyễn Thái Vượng</t>
  </si>
  <si>
    <t>B19DCCN236</t>
  </si>
  <si>
    <t>B19DCVT131</t>
  </si>
  <si>
    <t>B19DCVT132</t>
  </si>
  <si>
    <t>Hiểu</t>
  </si>
  <si>
    <t>B19DCDT078</t>
  </si>
  <si>
    <t>B19DCAT071</t>
  </si>
  <si>
    <t>B19DCDT080</t>
  </si>
  <si>
    <t>Phùng Trung</t>
  </si>
  <si>
    <t>B19DCCN260</t>
  </si>
  <si>
    <t>B19DCVT144</t>
  </si>
  <si>
    <t>B19DCCN263</t>
  </si>
  <si>
    <t>Cồ Thị Phương</t>
  </si>
  <si>
    <t>B19DCCN264</t>
  </si>
  <si>
    <t>B18DCVT170</t>
  </si>
  <si>
    <t>Đinh Việt</t>
  </si>
  <si>
    <t>D18CQVT02-B</t>
  </si>
  <si>
    <t>B19DCCN279</t>
  </si>
  <si>
    <t>B19DCCN283</t>
  </si>
  <si>
    <t>B19DCDT106</t>
  </si>
  <si>
    <t>B19DCCN339</t>
  </si>
  <si>
    <t>B19DCDT117</t>
  </si>
  <si>
    <t>Phạm Doãn</t>
  </si>
  <si>
    <t>B19DCVT196</t>
  </si>
  <si>
    <t>Phan Ngọc</t>
  </si>
  <si>
    <t>B19DCVT205</t>
  </si>
  <si>
    <t>B19DCAT100</t>
  </si>
  <si>
    <t>B19DCVT214</t>
  </si>
  <si>
    <t>B19DCVT217</t>
  </si>
  <si>
    <t>Trình Văn</t>
  </si>
  <si>
    <t>B19DCCN372</t>
  </si>
  <si>
    <t>Lê Diệu</t>
  </si>
  <si>
    <t>B19DCVT236</t>
  </si>
  <si>
    <t>B19DCVT259</t>
  </si>
  <si>
    <t>B18DCDT158</t>
  </si>
  <si>
    <t>Trần Nhật</t>
  </si>
  <si>
    <t>B19DCCN445</t>
  </si>
  <si>
    <t>Bùi Hoài</t>
  </si>
  <si>
    <t>B19DCCN447</t>
  </si>
  <si>
    <t>Lưu Tiến</t>
  </si>
  <si>
    <t>B19DCVT272</t>
  </si>
  <si>
    <t>B19DCDT158</t>
  </si>
  <si>
    <t>B19DCDT160</t>
  </si>
  <si>
    <t>Kiều Như</t>
  </si>
  <si>
    <t>B19DCVT276</t>
  </si>
  <si>
    <t>Mai Khôi</t>
  </si>
  <si>
    <t>B19DCCN499</t>
  </si>
  <si>
    <t>B19DCVT284</t>
  </si>
  <si>
    <t>B19DCDT175</t>
  </si>
  <si>
    <t>B19DCVT296</t>
  </si>
  <si>
    <t>B19DCDT182</t>
  </si>
  <si>
    <t>B19DCCN576</t>
  </si>
  <si>
    <t>Hoàng Trọng</t>
  </si>
  <si>
    <t>Tấn</t>
  </si>
  <si>
    <t>B19DCDT220</t>
  </si>
  <si>
    <t>B19DCCN648</t>
  </si>
  <si>
    <t>Đặng Đình</t>
  </si>
  <si>
    <t>B19DCVT380</t>
  </si>
  <si>
    <t>B19DCAT187</t>
  </si>
  <si>
    <t>B19DCVT383</t>
  </si>
  <si>
    <t>B19DCDT233</t>
  </si>
  <si>
    <t>B19DCCN669</t>
  </si>
  <si>
    <t>Phạm Đăng</t>
  </si>
  <si>
    <t>Thiết</t>
  </si>
  <si>
    <t>B19DCVT396</t>
  </si>
  <si>
    <t>B19DCAT195</t>
  </si>
  <si>
    <t>B19DCDT196</t>
  </si>
  <si>
    <t>B19DCVT332</t>
  </si>
  <si>
    <t>B19DCDT199</t>
  </si>
  <si>
    <t>B19DCVT406</t>
  </si>
  <si>
    <t>B19DCDT244</t>
  </si>
  <si>
    <t>B18DCVT368</t>
  </si>
  <si>
    <t>B19DCCN620</t>
  </si>
  <si>
    <t>B19DCVT348</t>
  </si>
  <si>
    <t>B19DCVT350</t>
  </si>
  <si>
    <t>B19DCVT352</t>
  </si>
  <si>
    <t>Ngạc Thanh</t>
  </si>
  <si>
    <t>B19DCVT355</t>
  </si>
  <si>
    <t>B18DCAT256</t>
  </si>
  <si>
    <t>B19DCVT428</t>
  </si>
  <si>
    <t>B19DCCN006</t>
  </si>
  <si>
    <t>Trần Thái</t>
  </si>
  <si>
    <t>BAS1224_08</t>
  </si>
  <si>
    <t>B19DCCN008</t>
  </si>
  <si>
    <t>Dương Bảo</t>
  </si>
  <si>
    <t>B19DCCN009</t>
  </si>
  <si>
    <t>Đặng Tuấn</t>
  </si>
  <si>
    <t>B19DCCN044</t>
  </si>
  <si>
    <t>B19DCCN047</t>
  </si>
  <si>
    <t>B19DCAT011</t>
  </si>
  <si>
    <t>B19DCCN053</t>
  </si>
  <si>
    <t>Vương Thị</t>
  </si>
  <si>
    <t>B19DCCN096</t>
  </si>
  <si>
    <t>B19DCCN103</t>
  </si>
  <si>
    <t>B19DCAT017</t>
  </si>
  <si>
    <t>B19DCCN083</t>
  </si>
  <si>
    <t>B19DCCN088</t>
  </si>
  <si>
    <t>B19DCCN091</t>
  </si>
  <si>
    <t>B19DCCN114</t>
  </si>
  <si>
    <t>Dinh</t>
  </si>
  <si>
    <t>B19DCCN116</t>
  </si>
  <si>
    <t>B16DCCN089</t>
  </si>
  <si>
    <t>D16HTTT1</t>
  </si>
  <si>
    <t>B19DCAT027</t>
  </si>
  <si>
    <t>B19DCCN157</t>
  </si>
  <si>
    <t>B19DCCN162</t>
  </si>
  <si>
    <t>B19DCCN171</t>
  </si>
  <si>
    <t>B19DCCN173</t>
  </si>
  <si>
    <t>B19DCCN176</t>
  </si>
  <si>
    <t>Nguyễn Tử</t>
  </si>
  <si>
    <t>B19DCAT040</t>
  </si>
  <si>
    <t>Trương Phúc</t>
  </si>
  <si>
    <t>B19DCCN191</t>
  </si>
  <si>
    <t>B19DCCN195</t>
  </si>
  <si>
    <t>B19DCCN204</t>
  </si>
  <si>
    <t>B18DCDT062</t>
  </si>
  <si>
    <t>B19DCCN219</t>
  </si>
  <si>
    <t>B19DCCN726</t>
  </si>
  <si>
    <t>Lê Thị Minh</t>
  </si>
  <si>
    <t>B19DCAT063</t>
  </si>
  <si>
    <t>B19DCCN252</t>
  </si>
  <si>
    <t>B19DCCN253</t>
  </si>
  <si>
    <t>B19DCAT070</t>
  </si>
  <si>
    <t>B19DCCN265</t>
  </si>
  <si>
    <t>Phạm Trí</t>
  </si>
  <si>
    <t>B19DCCN272</t>
  </si>
  <si>
    <t>Chu Minh</t>
  </si>
  <si>
    <t>B19DCCN276</t>
  </si>
  <si>
    <t>B19DCCN284</t>
  </si>
  <si>
    <t>B18DCDT091</t>
  </si>
  <si>
    <t>B19DCCN300</t>
  </si>
  <si>
    <t>B19DCCN306</t>
  </si>
  <si>
    <t>B19DCAT087</t>
  </si>
  <si>
    <t>B19DCCN318</t>
  </si>
  <si>
    <t>B19DCCN320</t>
  </si>
  <si>
    <t>Phan Quang</t>
  </si>
  <si>
    <t>B19DCCN324</t>
  </si>
  <si>
    <t>Trịnh Bùi Quang</t>
  </si>
  <si>
    <t>B19DCAT095</t>
  </si>
  <si>
    <t>B19DCCN332</t>
  </si>
  <si>
    <t>B19DCCN336</t>
  </si>
  <si>
    <t>B19DCCN355</t>
  </si>
  <si>
    <t>B19DCCN356</t>
  </si>
  <si>
    <t>B19DCCN348</t>
  </si>
  <si>
    <t>Quách Đình</t>
  </si>
  <si>
    <t>B19DCCN373</t>
  </si>
  <si>
    <t>Lê Khánh</t>
  </si>
  <si>
    <t>B19DCCN396</t>
  </si>
  <si>
    <t>B19DCCN399</t>
  </si>
  <si>
    <t>B19DCCN420</t>
  </si>
  <si>
    <t>B19DCCN452</t>
  </si>
  <si>
    <t>B19DCCN455</t>
  </si>
  <si>
    <t>Phùng Thanh</t>
  </si>
  <si>
    <t>B19DCCN464</t>
  </si>
  <si>
    <t>B19DCAT130</t>
  </si>
  <si>
    <t>B19DCCN484</t>
  </si>
  <si>
    <t>Hoàng Đàm Long</t>
  </si>
  <si>
    <t>B19DCAT132</t>
  </si>
  <si>
    <t>B19DCCN491</t>
  </si>
  <si>
    <t>B19DCCN500</t>
  </si>
  <si>
    <t>Tạ Đức</t>
  </si>
  <si>
    <t>B19DCCN512</t>
  </si>
  <si>
    <t>B19DCCN524</t>
  </si>
  <si>
    <t>Trịnh Gia</t>
  </si>
  <si>
    <t>B19DCCN536</t>
  </si>
  <si>
    <t>B19DCCN544</t>
  </si>
  <si>
    <t>Đỗ Thị Xuân</t>
  </si>
  <si>
    <t>B18DCVT352</t>
  </si>
  <si>
    <t>B17DCCN548</t>
  </si>
  <si>
    <t>Đoàn Trắc</t>
  </si>
  <si>
    <t>D17CQCN08-B</t>
  </si>
  <si>
    <t>B19DCCN569</t>
  </si>
  <si>
    <t>B19DCAT178</t>
  </si>
  <si>
    <t>B19DCAT181</t>
  </si>
  <si>
    <t>Trần Chung</t>
  </si>
  <si>
    <t>B19DCCN655</t>
  </si>
  <si>
    <t>B19DCVT378</t>
  </si>
  <si>
    <t>Thạo</t>
  </si>
  <si>
    <t>B19DCCN659</t>
  </si>
  <si>
    <t>B19DCCN579</t>
  </si>
  <si>
    <t>Nguyễn Tá</t>
  </si>
  <si>
    <t>B19DCCN588</t>
  </si>
  <si>
    <t>B19DCCN609</t>
  </si>
  <si>
    <t>B19DCVT344</t>
  </si>
  <si>
    <t>B19DCCN618</t>
  </si>
  <si>
    <t>B19DCCN621</t>
  </si>
  <si>
    <t>B19DCCN625</t>
  </si>
  <si>
    <t>B19DCCN710</t>
  </si>
  <si>
    <t>B19DCCN725</t>
  </si>
  <si>
    <t>B19DCCN023</t>
  </si>
  <si>
    <t>BAS1224_09</t>
  </si>
  <si>
    <t>B19DCCN065</t>
  </si>
  <si>
    <t>Bến</t>
  </si>
  <si>
    <t>B19DCCN105</t>
  </si>
  <si>
    <t>Đới Thành</t>
  </si>
  <si>
    <t>B19DCCN089</t>
  </si>
  <si>
    <t>B19DCVT039</t>
  </si>
  <si>
    <t>B19DCCN128</t>
  </si>
  <si>
    <t>B19DCCN145</t>
  </si>
  <si>
    <t>B19DCAT031</t>
  </si>
  <si>
    <t>B19DCCN155</t>
  </si>
  <si>
    <t>B19DCAT033</t>
  </si>
  <si>
    <t>Vũ Mạnh</t>
  </si>
  <si>
    <t>B19DCVT082</t>
  </si>
  <si>
    <t>B19DCVT083</t>
  </si>
  <si>
    <t>B19DCCN179</t>
  </si>
  <si>
    <t>Phạm Tấn</t>
  </si>
  <si>
    <t>B19DCAT038</t>
  </si>
  <si>
    <t>B19DCAT041</t>
  </si>
  <si>
    <t>Đề</t>
  </si>
  <si>
    <t>B19DCDT062</t>
  </si>
  <si>
    <t>B19DCCN198</t>
  </si>
  <si>
    <t>B19DCAT050</t>
  </si>
  <si>
    <t>B19DCVT113</t>
  </si>
  <si>
    <t>B19DCCN213</t>
  </si>
  <si>
    <t>Đào Phúc</t>
  </si>
  <si>
    <t>B19DCCN218</t>
  </si>
  <si>
    <t>B19DCCN222</t>
  </si>
  <si>
    <t>B19DCCN235</t>
  </si>
  <si>
    <t>B17DCAT069</t>
  </si>
  <si>
    <t>B13DCAT016</t>
  </si>
  <si>
    <t>D13CQAT01-B</t>
  </si>
  <si>
    <t>B19DCCN239</t>
  </si>
  <si>
    <t>Đoàn Anh</t>
  </si>
  <si>
    <t>B19DCCN246</t>
  </si>
  <si>
    <t>B19DCCN249</t>
  </si>
  <si>
    <t>B19DCCN258</t>
  </si>
  <si>
    <t>B19DCVT152</t>
  </si>
  <si>
    <t>Bùi Huy</t>
  </si>
  <si>
    <t>B19DCCN274</t>
  </si>
  <si>
    <t>Kim Huy</t>
  </si>
  <si>
    <t>B19DCCN291</t>
  </si>
  <si>
    <t>B19DCCN295</t>
  </si>
  <si>
    <t>B19DCCN301</t>
  </si>
  <si>
    <t>B19DCVT181</t>
  </si>
  <si>
    <t>B19DCCN317</t>
  </si>
  <si>
    <t>B18DCCN284</t>
  </si>
  <si>
    <t>B19DCCN733</t>
  </si>
  <si>
    <t>B19DCCN340</t>
  </si>
  <si>
    <t>Hưởng</t>
  </si>
  <si>
    <t>B19DCCN353</t>
  </si>
  <si>
    <t>B19DCDT120</t>
  </si>
  <si>
    <t>B19DCCN346</t>
  </si>
  <si>
    <t>B19DCCN350</t>
  </si>
  <si>
    <t>Trương Quang</t>
  </si>
  <si>
    <t>B19DCDT131</t>
  </si>
  <si>
    <t>Nghiêm Thị Thuỳ</t>
  </si>
  <si>
    <t>B19DCCN381</t>
  </si>
  <si>
    <t>Trần Mạnh Quang</t>
  </si>
  <si>
    <t>B19DCCN382</t>
  </si>
  <si>
    <t>Trần Võ</t>
  </si>
  <si>
    <t>B19DCCN406</t>
  </si>
  <si>
    <t>Đào Văn</t>
  </si>
  <si>
    <t>B19DCCN409</t>
  </si>
  <si>
    <t>B19DCCN425</t>
  </si>
  <si>
    <t>B19DCVT255</t>
  </si>
  <si>
    <t>Nguyễn Trần Tuấn</t>
  </si>
  <si>
    <t>B19DCCN438</t>
  </si>
  <si>
    <t>B19DCAT126</t>
  </si>
  <si>
    <t>B19DCCN483</t>
  </si>
  <si>
    <t>Nhất</t>
  </si>
  <si>
    <t>B16DCAT118</t>
  </si>
  <si>
    <t>D16CQAT02-B</t>
  </si>
  <si>
    <t>B19DCCN490</t>
  </si>
  <si>
    <t>B19DCCN459</t>
  </si>
  <si>
    <t>B19DCCN493</t>
  </si>
  <si>
    <t>B19DCCN497</t>
  </si>
  <si>
    <t>Bùi Khắc</t>
  </si>
  <si>
    <t>B19DCCN503</t>
  </si>
  <si>
    <t>Phố</t>
  </si>
  <si>
    <t>B19DCVT283</t>
  </si>
  <si>
    <t>Đoàn Dương</t>
  </si>
  <si>
    <t>B19DCCN508</t>
  </si>
  <si>
    <t>B19DCAT139</t>
  </si>
  <si>
    <t>Đinh Thị Minh</t>
  </si>
  <si>
    <t>B19DCCN511</t>
  </si>
  <si>
    <t>Ngô Ngọc Thanh</t>
  </si>
  <si>
    <t>B19DCCN518</t>
  </si>
  <si>
    <t>B19DCCN533</t>
  </si>
  <si>
    <t>B18DCVT350</t>
  </si>
  <si>
    <t>D18CQVT06-B</t>
  </si>
  <si>
    <t>B19DCCN561</t>
  </si>
  <si>
    <t>B19DCCN567</t>
  </si>
  <si>
    <t>B19DCCN574</t>
  </si>
  <si>
    <t>B19DCCN636</t>
  </si>
  <si>
    <t>B19DCDT214</t>
  </si>
  <si>
    <t>Đỗ Hồng</t>
  </si>
  <si>
    <t>B19DCCN646</t>
  </si>
  <si>
    <t>B19DCCN656</t>
  </si>
  <si>
    <t>B19DCVT397</t>
  </si>
  <si>
    <t>B19DCCN680</t>
  </si>
  <si>
    <t>Phạm Tường</t>
  </si>
  <si>
    <t>B19DCVT404</t>
  </si>
  <si>
    <t>Thường</t>
  </si>
  <si>
    <t>B19DCVT319</t>
  </si>
  <si>
    <t>B19DCCN591</t>
  </si>
  <si>
    <t>B19DCCN593</t>
  </si>
  <si>
    <t>Nguyễn Song</t>
  </si>
  <si>
    <t>B19DCVT405</t>
  </si>
  <si>
    <t>B19DCCN604</t>
  </si>
  <si>
    <t>B19DCVT336</t>
  </si>
  <si>
    <t>B19DCCN627</t>
  </si>
  <si>
    <t>B19DCVT364</t>
  </si>
  <si>
    <t>B19DCVT436</t>
  </si>
  <si>
    <t>B19DCCN033</t>
  </si>
  <si>
    <t>BAS1224_10</t>
  </si>
  <si>
    <t>B16DCVT013</t>
  </si>
  <si>
    <t>B19DCCN040</t>
  </si>
  <si>
    <t>B19DCCN056</t>
  </si>
  <si>
    <t>B18DCVT045</t>
  </si>
  <si>
    <t>B19DCAT023</t>
  </si>
  <si>
    <t>Lại Quang</t>
  </si>
  <si>
    <t>B19DCCN104</t>
  </si>
  <si>
    <t>B19DCCN073</t>
  </si>
  <si>
    <t>B19DCCN074</t>
  </si>
  <si>
    <t>B19DCCN090</t>
  </si>
  <si>
    <t>Phùng Đức</t>
  </si>
  <si>
    <t>B19DCCN115</t>
  </si>
  <si>
    <t>B19DCCN134</t>
  </si>
  <si>
    <t>Tô Tiến</t>
  </si>
  <si>
    <t>B19DCCN140</t>
  </si>
  <si>
    <t>B19DCCN152</t>
  </si>
  <si>
    <t>B19DCCN165</t>
  </si>
  <si>
    <t>Trần Hưng</t>
  </si>
  <si>
    <t>B19DCCN167</t>
  </si>
  <si>
    <t>B19DCCN170</t>
  </si>
  <si>
    <t>Đỗ Khắc</t>
  </si>
  <si>
    <t>B19DCAT035</t>
  </si>
  <si>
    <t>Ngô Quý</t>
  </si>
  <si>
    <t>B19DCCN181</t>
  </si>
  <si>
    <t>Điện</t>
  </si>
  <si>
    <t>B19DCCN182</t>
  </si>
  <si>
    <t>B19DCCN190</t>
  </si>
  <si>
    <t>B19DCCN192</t>
  </si>
  <si>
    <t>B19DCDT064</t>
  </si>
  <si>
    <t>B19DCCN201</t>
  </si>
  <si>
    <t>B19DCCN216</t>
  </si>
  <si>
    <t>B19DCCN226</t>
  </si>
  <si>
    <t>B19DCCN254</t>
  </si>
  <si>
    <t>B19DCCN269</t>
  </si>
  <si>
    <t>B19DCCN277</t>
  </si>
  <si>
    <t>Nguyễn Danh Việt</t>
  </si>
  <si>
    <t>B19DCCN278</t>
  </si>
  <si>
    <t>B19DCCN280</t>
  </si>
  <si>
    <t>B19DCCN286</t>
  </si>
  <si>
    <t>B19DCCN287</t>
  </si>
  <si>
    <t>B19DCCN290</t>
  </si>
  <si>
    <t>B19DCCN298</t>
  </si>
  <si>
    <t>B19DCVT169</t>
  </si>
  <si>
    <t>B19DCCN302</t>
  </si>
  <si>
    <t>B19DCCN315</t>
  </si>
  <si>
    <t>B19DCCN319</t>
  </si>
  <si>
    <t>B19DCCN321</t>
  </si>
  <si>
    <t>B19DCCN323</t>
  </si>
  <si>
    <t>Trần Văn Quang</t>
  </si>
  <si>
    <t>B19DCCN326</t>
  </si>
  <si>
    <t>B19DCAT096</t>
  </si>
  <si>
    <t>Phạm Khánh</t>
  </si>
  <si>
    <t>B19DCCN330</t>
  </si>
  <si>
    <t>B19DCCN338</t>
  </si>
  <si>
    <t>B19DCAT211</t>
  </si>
  <si>
    <t>Kiều Minh</t>
  </si>
  <si>
    <t>B19DCCN357</t>
  </si>
  <si>
    <t>B19DCCN359</t>
  </si>
  <si>
    <t>Tô Long</t>
  </si>
  <si>
    <t>Khiết</t>
  </si>
  <si>
    <t>B19DCCN405</t>
  </si>
  <si>
    <t>B19DCCN408</t>
  </si>
  <si>
    <t>B19DCCN410</t>
  </si>
  <si>
    <t>B18DCDT152</t>
  </si>
  <si>
    <t>Hoàng Lê</t>
  </si>
  <si>
    <t>B19DCCN431</t>
  </si>
  <si>
    <t>B19DCCN441</t>
  </si>
  <si>
    <t>Phùng Tấn</t>
  </si>
  <si>
    <t>B19DCCN454</t>
  </si>
  <si>
    <t>B19DCCN463</t>
  </si>
  <si>
    <t>Mai Trung</t>
  </si>
  <si>
    <t>B19DCCN470</t>
  </si>
  <si>
    <t>Nghiêm</t>
  </si>
  <si>
    <t>B19DCCN457</t>
  </si>
  <si>
    <t>B19DCCN494</t>
  </si>
  <si>
    <t>Ngô Thị Kiều</t>
  </si>
  <si>
    <t>B19DCCN502</t>
  </si>
  <si>
    <t>Trần Khắc</t>
  </si>
  <si>
    <t>B19DCCN516</t>
  </si>
  <si>
    <t>Ninh Thị</t>
  </si>
  <si>
    <t>B19DCCN523</t>
  </si>
  <si>
    <t>Phí Minh</t>
  </si>
  <si>
    <t>B19DCCN525</t>
  </si>
  <si>
    <t>Bùi Anh</t>
  </si>
  <si>
    <t>B19DCCN531</t>
  </si>
  <si>
    <t>Nguyễn Trọng Anh</t>
  </si>
  <si>
    <t>B19DCCN535</t>
  </si>
  <si>
    <t>Vũ Hữu</t>
  </si>
  <si>
    <t>B19DCCN542</t>
  </si>
  <si>
    <t>B19DCCN541</t>
  </si>
  <si>
    <t>B19DCCN545</t>
  </si>
  <si>
    <t>B19DCAT151</t>
  </si>
  <si>
    <t>B19DCCN552</t>
  </si>
  <si>
    <t>B19DCCN554</t>
  </si>
  <si>
    <t>Nguyễn Hữu Hồng</t>
  </si>
  <si>
    <t>B19DCCN555</t>
  </si>
  <si>
    <t>B19DCCN559</t>
  </si>
  <si>
    <t>B19DCCN563</t>
  </si>
  <si>
    <t>B19DCCN654</t>
  </si>
  <si>
    <t>Nguyễn Trí</t>
  </si>
  <si>
    <t>B19DCAT184</t>
  </si>
  <si>
    <t>B19DCCN665</t>
  </si>
  <si>
    <t>B19DCCN583</t>
  </si>
  <si>
    <t>Phùng Bá</t>
  </si>
  <si>
    <t>B19DCCN589</t>
  </si>
  <si>
    <t>Hà Duy Mạnh</t>
  </si>
  <si>
    <t>B19DCCN702</t>
  </si>
  <si>
    <t>Nguyễn Đan</t>
  </si>
  <si>
    <t>B19DCCN598</t>
  </si>
  <si>
    <t>Hoàng Công</t>
  </si>
  <si>
    <t>B19DCCN613</t>
  </si>
  <si>
    <t>Lương Anh</t>
  </si>
  <si>
    <t>B19DCCN629</t>
  </si>
  <si>
    <t>B19DCCN635</t>
  </si>
  <si>
    <t>Tường</t>
  </si>
  <si>
    <t>B19DCCN724</t>
  </si>
  <si>
    <t>B19DCAT001</t>
  </si>
  <si>
    <t>BAS1224_16</t>
  </si>
  <si>
    <t>B19DCAT003</t>
  </si>
  <si>
    <t>Đỗ Đức Quốc</t>
  </si>
  <si>
    <t>B19DCVT012</t>
  </si>
  <si>
    <t>B19DCAT008</t>
  </si>
  <si>
    <t>B19DCCN039</t>
  </si>
  <si>
    <t>B19DCCN045</t>
  </si>
  <si>
    <t>B19DCCN064</t>
  </si>
  <si>
    <t>B19DCAT013</t>
  </si>
  <si>
    <t>Cấn Ngọc</t>
  </si>
  <si>
    <t>B19DCAT018</t>
  </si>
  <si>
    <t>Bùi Kim</t>
  </si>
  <si>
    <t>B19DCCN078</t>
  </si>
  <si>
    <t>Đỗ Hùng</t>
  </si>
  <si>
    <t>B19DCAT019</t>
  </si>
  <si>
    <t>Lã Mạnh</t>
  </si>
  <si>
    <t>B19DCAT026</t>
  </si>
  <si>
    <t>Đoàn Phương</t>
  </si>
  <si>
    <t>B19DCCN119</t>
  </si>
  <si>
    <t>Nông Thị Thùy</t>
  </si>
  <si>
    <t>B19DCCN147</t>
  </si>
  <si>
    <t>Đào Đại</t>
  </si>
  <si>
    <t>B19DCDT036</t>
  </si>
  <si>
    <t>Mạc Thị Thùy</t>
  </si>
  <si>
    <t>B19DCDT040</t>
  </si>
  <si>
    <t>B19DCVT077</t>
  </si>
  <si>
    <t>Đỗ Trung</t>
  </si>
  <si>
    <t>B19DCCN175</t>
  </si>
  <si>
    <t>B19DCCN185</t>
  </si>
  <si>
    <t>Nguyễn Định</t>
  </si>
  <si>
    <t>Đủ</t>
  </si>
  <si>
    <t>B17DCVT078</t>
  </si>
  <si>
    <t>D17CQVT06-B</t>
  </si>
  <si>
    <t>B12DCCN213</t>
  </si>
  <si>
    <t>D12CNPM1</t>
  </si>
  <si>
    <t>B19DCAT054</t>
  </si>
  <si>
    <t>B19DCDT067</t>
  </si>
  <si>
    <t>B19DCCN212</t>
  </si>
  <si>
    <t>Trương Thị Thu</t>
  </si>
  <si>
    <t>B19DCAT060</t>
  </si>
  <si>
    <t>B19DCCN250</t>
  </si>
  <si>
    <t>B19DCDT083</t>
  </si>
  <si>
    <t>Tạ Huy</t>
  </si>
  <si>
    <t>B19DCVT151</t>
  </si>
  <si>
    <t>B19DCDT089</t>
  </si>
  <si>
    <t>B19DCAT079</t>
  </si>
  <si>
    <t>B19DCVT162</t>
  </si>
  <si>
    <t>B19DCVT163</t>
  </si>
  <si>
    <t>B19DCAT088</t>
  </si>
  <si>
    <t>B19DCCN327</t>
  </si>
  <si>
    <t>Hoàng Tuấn</t>
  </si>
  <si>
    <t>B19DCDT109</t>
  </si>
  <si>
    <t>B17DCCN343</t>
  </si>
  <si>
    <t>D17CQCN07-B</t>
  </si>
  <si>
    <t>B19DCAT109</t>
  </si>
  <si>
    <t>B19DCCN731</t>
  </si>
  <si>
    <t>Triệu Ồng</t>
  </si>
  <si>
    <t>Lai</t>
  </si>
  <si>
    <t>B19DCVT213</t>
  </si>
  <si>
    <t>B19DCDT130</t>
  </si>
  <si>
    <t>Đào Viết</t>
  </si>
  <si>
    <t>B19DCCN371</t>
  </si>
  <si>
    <t>Hoàng Thị Mỹ</t>
  </si>
  <si>
    <t>B19DCVT221</t>
  </si>
  <si>
    <t>Moong Hoài</t>
  </si>
  <si>
    <t>B19DCCN380</t>
  </si>
  <si>
    <t>Thái Thùy</t>
  </si>
  <si>
    <t>B15DCVT236</t>
  </si>
  <si>
    <t>Đặng Viết</t>
  </si>
  <si>
    <t>B17DCDT115</t>
  </si>
  <si>
    <t>B19DCCN401</t>
  </si>
  <si>
    <t>B19DCCN402</t>
  </si>
  <si>
    <t>B19DCCN419</t>
  </si>
  <si>
    <t>B19DCVT248</t>
  </si>
  <si>
    <t>B19DCAT128</t>
  </si>
  <si>
    <t>B19DCCN474</t>
  </si>
  <si>
    <t>B19DCCN477</t>
  </si>
  <si>
    <t>Lưu Trọng</t>
  </si>
  <si>
    <t>B19DCCN479</t>
  </si>
  <si>
    <t>B19DCVT278</t>
  </si>
  <si>
    <t>Thái Việt</t>
  </si>
  <si>
    <t>B19DCDT164</t>
  </si>
  <si>
    <t>B19DCCN730</t>
  </si>
  <si>
    <t>Linh Hồng</t>
  </si>
  <si>
    <t>B19DCCN492</t>
  </si>
  <si>
    <t>B19DCAT137</t>
  </si>
  <si>
    <t>Đặng Kiều</t>
  </si>
  <si>
    <t>B19DCAT145</t>
  </si>
  <si>
    <t>Nguyễn Đoàn</t>
  </si>
  <si>
    <t>B19DCDT183</t>
  </si>
  <si>
    <t>B19DCCN547</t>
  </si>
  <si>
    <t>B18DCAT198</t>
  </si>
  <si>
    <t>B19DCAT149</t>
  </si>
  <si>
    <t>B19DCCN551</t>
  </si>
  <si>
    <t>B19DCAT154</t>
  </si>
  <si>
    <t>B19DCAT157</t>
  </si>
  <si>
    <t>Sỹ</t>
  </si>
  <si>
    <t>B19DCCN637</t>
  </si>
  <si>
    <t>B19DCCN663</t>
  </si>
  <si>
    <t>Trần Chiến</t>
  </si>
  <si>
    <t>B19DCDT235</t>
  </si>
  <si>
    <t>B19DCAT193</t>
  </si>
  <si>
    <t>B19DCCN582</t>
  </si>
  <si>
    <t>B19DCDT197</t>
  </si>
  <si>
    <t>Trần Bá</t>
  </si>
  <si>
    <t>B19DCCN596</t>
  </si>
  <si>
    <t>B19DCAT196</t>
  </si>
  <si>
    <t>B19DCCN694</t>
  </si>
  <si>
    <t>B19DCAT198</t>
  </si>
  <si>
    <t>Đàm Văn</t>
  </si>
  <si>
    <t>B19DCDT245</t>
  </si>
  <si>
    <t>Hoàng Việt</t>
  </si>
  <si>
    <t>B19DCVT419</t>
  </si>
  <si>
    <t>B19DCDT249</t>
  </si>
  <si>
    <t>B19DCVT340</t>
  </si>
  <si>
    <t>B19DCCN612</t>
  </si>
  <si>
    <t>Lê Triệu</t>
  </si>
  <si>
    <t>B19DCDT210</t>
  </si>
  <si>
    <t>Tuy</t>
  </si>
  <si>
    <t>B19DCVT363</t>
  </si>
  <si>
    <t>B19DCCN634</t>
  </si>
  <si>
    <t>Tứ</t>
  </si>
  <si>
    <t>B19DCDT251</t>
  </si>
  <si>
    <t>Lê Tân</t>
  </si>
  <si>
    <t>B19DCCN713</t>
  </si>
  <si>
    <t>B19DCVT444</t>
  </si>
  <si>
    <t>B19DCVT002</t>
  </si>
  <si>
    <t>BAS1224_17</t>
  </si>
  <si>
    <t>B19DCDT007</t>
  </si>
  <si>
    <t>Đặng Trường</t>
  </si>
  <si>
    <t>B19DCVT009</t>
  </si>
  <si>
    <t>B18DCDT010</t>
  </si>
  <si>
    <t>Nguyễn Quang Hải</t>
  </si>
  <si>
    <t>B19DCDT013</t>
  </si>
  <si>
    <t>Nguyễn Quốc Kỳ</t>
  </si>
  <si>
    <t>B19DCDT014</t>
  </si>
  <si>
    <t>B19DCVT021</t>
  </si>
  <si>
    <t>Vũ Thị Vân</t>
  </si>
  <si>
    <t>B18DCVT029</t>
  </si>
  <si>
    <t>B19DCVT449</t>
  </si>
  <si>
    <t>Phetdaoheuang</t>
  </si>
  <si>
    <t>Chanthavixay</t>
  </si>
  <si>
    <t>B19DCVT041</t>
  </si>
  <si>
    <t>B19DCVT045</t>
  </si>
  <si>
    <t>B19DCDT021</t>
  </si>
  <si>
    <t>B19DCVT035</t>
  </si>
  <si>
    <t>Dương Mạnh</t>
  </si>
  <si>
    <t>B19DCVT037</t>
  </si>
  <si>
    <t>B19DCDT029</t>
  </si>
  <si>
    <t>B19DCVT061</t>
  </si>
  <si>
    <t>B19DCVT069</t>
  </si>
  <si>
    <t>Phạm Bình</t>
  </si>
  <si>
    <t>B19DCVT075</t>
  </si>
  <si>
    <t>Đặng Đắc</t>
  </si>
  <si>
    <t>B19DCDT045</t>
  </si>
  <si>
    <t>Đỗ Tiến</t>
  </si>
  <si>
    <t>B19DCDT053</t>
  </si>
  <si>
    <t>Lương Quốc</t>
  </si>
  <si>
    <t>B19DCVT086</t>
  </si>
  <si>
    <t>B19DCDT057</t>
  </si>
  <si>
    <t>Đỗ Tấn</t>
  </si>
  <si>
    <t>B19DCVT092</t>
  </si>
  <si>
    <t>B19DCAT057</t>
  </si>
  <si>
    <t>B19DCDT068</t>
  </si>
  <si>
    <t>B19DCVT125</t>
  </si>
  <si>
    <t>B19DCAT062</t>
  </si>
  <si>
    <t>Hoàng Vũ</t>
  </si>
  <si>
    <t>B19DCDT074</t>
  </si>
  <si>
    <t>B18DCAT077</t>
  </si>
  <si>
    <t>B19DCCN256</t>
  </si>
  <si>
    <t>Tạ Minh</t>
  </si>
  <si>
    <t>B19DCVT143</t>
  </si>
  <si>
    <t>B19DCDT086</t>
  </si>
  <si>
    <t>B19DCDT088</t>
  </si>
  <si>
    <t>Đoàn Duy</t>
  </si>
  <si>
    <t>B19DCVT159</t>
  </si>
  <si>
    <t>B16DCCN157</t>
  </si>
  <si>
    <t>D16CNPM3</t>
  </si>
  <si>
    <t>B19DCDT097</t>
  </si>
  <si>
    <t>Đỗ Doãn</t>
  </si>
  <si>
    <t>Hoạt</t>
  </si>
  <si>
    <t>B19DCDT102</t>
  </si>
  <si>
    <t>B19DCDT103</t>
  </si>
  <si>
    <t>B14DCCN060</t>
  </si>
  <si>
    <t>Tạ Việt</t>
  </si>
  <si>
    <t>D14CNPM5</t>
  </si>
  <si>
    <t>B19DCDT107</t>
  </si>
  <si>
    <t>B19DCVT186</t>
  </si>
  <si>
    <t>B19DCVT199</t>
  </si>
  <si>
    <t>Nghi Quang</t>
  </si>
  <si>
    <t>B19DCVT202</t>
  </si>
  <si>
    <t>B19DCDT125</t>
  </si>
  <si>
    <t>Nhữ Thái</t>
  </si>
  <si>
    <t>B19DCVT194</t>
  </si>
  <si>
    <t>B19DCVT227</t>
  </si>
  <si>
    <t>B19DCVT228</t>
  </si>
  <si>
    <t>Hà Quang</t>
  </si>
  <si>
    <t>B19DCVT247</t>
  </si>
  <si>
    <t>B18DCAT161</t>
  </si>
  <si>
    <t>B19DCVT257</t>
  </si>
  <si>
    <t>Tạ Nhật</t>
  </si>
  <si>
    <t>B19DCVT265</t>
  </si>
  <si>
    <t>Nguyễn Đặng Phương</t>
  </si>
  <si>
    <t>B19DCVT269</t>
  </si>
  <si>
    <t>B19DCVT280</t>
  </si>
  <si>
    <t>B18DCAT183</t>
  </si>
  <si>
    <t>D18CQAT03-B</t>
  </si>
  <si>
    <t>B19DCVT289</t>
  </si>
  <si>
    <t>Khuất Nguyên</t>
  </si>
  <si>
    <t>B19DCVT290</t>
  </si>
  <si>
    <t>Phí Đức Nguyên</t>
  </si>
  <si>
    <t>Thao</t>
  </si>
  <si>
    <t>B19DCDT001</t>
  </si>
  <si>
    <t>Am</t>
  </si>
  <si>
    <t>BAS1224_18</t>
  </si>
  <si>
    <t>B19DCVT005</t>
  </si>
  <si>
    <t>B19DCVT011</t>
  </si>
  <si>
    <t>B19DCDT009</t>
  </si>
  <si>
    <t>B19DCVT022</t>
  </si>
  <si>
    <t>B19DCVT042</t>
  </si>
  <si>
    <t>B19DCVT049</t>
  </si>
  <si>
    <t>Trương Huỳnh Quang</t>
  </si>
  <si>
    <t>B19DCVT050</t>
  </si>
  <si>
    <t>Chuyển</t>
  </si>
  <si>
    <t>B19DCVT058</t>
  </si>
  <si>
    <t>B19DCVT065</t>
  </si>
  <si>
    <t>B19DCVT067</t>
  </si>
  <si>
    <t>Phạm Viết</t>
  </si>
  <si>
    <t>B19DCVT068</t>
  </si>
  <si>
    <t>B19DCDT038</t>
  </si>
  <si>
    <t>B19DCAT043</t>
  </si>
  <si>
    <t>Chu Tam</t>
  </si>
  <si>
    <t>Định</t>
  </si>
  <si>
    <t>B19DCVT090</t>
  </si>
  <si>
    <t>B19DCDT060</t>
  </si>
  <si>
    <t>B19DCVT097</t>
  </si>
  <si>
    <t>B19DCVT104</t>
  </si>
  <si>
    <t>B19DCVT120</t>
  </si>
  <si>
    <t>B19DCVT128</t>
  </si>
  <si>
    <t>B19DCDT076</t>
  </si>
  <si>
    <t>B19DCVT138</t>
  </si>
  <si>
    <t>B19DCVT142</t>
  </si>
  <si>
    <t>Tạ Trung</t>
  </si>
  <si>
    <t>B19DCDT090</t>
  </si>
  <si>
    <t>B19DCDT093</t>
  </si>
  <si>
    <t>Lã Minh</t>
  </si>
  <si>
    <t>B19DCDT096</t>
  </si>
  <si>
    <t>B19DCVT167</t>
  </si>
  <si>
    <t>B19DCVT170</t>
  </si>
  <si>
    <t>Vũ Huy</t>
  </si>
  <si>
    <t>B19DCAT085</t>
  </si>
  <si>
    <t>B19DCVT171</t>
  </si>
  <si>
    <t>B19DCVT174</t>
  </si>
  <si>
    <t>B19DCVT176</t>
  </si>
  <si>
    <t>Nguyễn Đoàn Quang</t>
  </si>
  <si>
    <t>B19DCVT179</t>
  </si>
  <si>
    <t>B19DCVT183</t>
  </si>
  <si>
    <t>B19DCVT189</t>
  </si>
  <si>
    <t>B19DCDT119</t>
  </si>
  <si>
    <t>B19DCVT203</t>
  </si>
  <si>
    <t>Dương Trọng</t>
  </si>
  <si>
    <t>B19DCVT208</t>
  </si>
  <si>
    <t>B19DCDT124</t>
  </si>
  <si>
    <t>Nguyễn Lê</t>
  </si>
  <si>
    <t>B19DCDT126</t>
  </si>
  <si>
    <t>Khởi</t>
  </si>
  <si>
    <t>B19DCVT193</t>
  </si>
  <si>
    <t>B19DCDT129</t>
  </si>
  <si>
    <t>Liêm</t>
  </si>
  <si>
    <t>B19DCCN370</t>
  </si>
  <si>
    <t>Bùi Tùng</t>
  </si>
  <si>
    <t>B19DCVT224</t>
  </si>
  <si>
    <t>B19DCVT222</t>
  </si>
  <si>
    <t>Ninh Khắc</t>
  </si>
  <si>
    <t>B19DCVT234</t>
  </si>
  <si>
    <t>B19DCVT251</t>
  </si>
  <si>
    <t>B19DCVT262</t>
  </si>
  <si>
    <t>B19DCDT148</t>
  </si>
  <si>
    <t>B19DCDT149</t>
  </si>
  <si>
    <t>Lưu Hải</t>
  </si>
  <si>
    <t>B19DCVT264</t>
  </si>
  <si>
    <t>Mai Hoài</t>
  </si>
  <si>
    <t>B19DCDT156</t>
  </si>
  <si>
    <t>B19DCCN468</t>
  </si>
  <si>
    <t>B19DCVT277</t>
  </si>
  <si>
    <t>B19DCDT161</t>
  </si>
  <si>
    <t>Phùng Công</t>
  </si>
  <si>
    <t>B19DCDT163</t>
  </si>
  <si>
    <t>Nguyễn Long</t>
  </si>
  <si>
    <t>B19DCVT279</t>
  </si>
  <si>
    <t>Vũ Khắc</t>
  </si>
  <si>
    <t>Phiêu</t>
  </si>
  <si>
    <t>B19DCDT168</t>
  </si>
  <si>
    <t>B19DCDT173</t>
  </si>
  <si>
    <t>B19DCVT293</t>
  </si>
  <si>
    <t>B19DCVT295</t>
  </si>
  <si>
    <t>B19DCDT186</t>
  </si>
  <si>
    <t>B19DCVT314</t>
  </si>
  <si>
    <t>Nghiêm Đăng</t>
  </si>
  <si>
    <t>B19DCDT190</t>
  </si>
  <si>
    <t>B19DCDT223</t>
  </si>
  <si>
    <t>B19DCDT226</t>
  </si>
  <si>
    <t>Đào Trần</t>
  </si>
  <si>
    <t>B19DCDT231</t>
  </si>
  <si>
    <t>B19DCVT317</t>
  </si>
  <si>
    <t>Đào Đình</t>
  </si>
  <si>
    <t>B19DCVT323</t>
  </si>
  <si>
    <t>Trần Quyết</t>
  </si>
  <si>
    <t>B19DCDT195</t>
  </si>
  <si>
    <t>B19DCDT198</t>
  </si>
  <si>
    <t>Tố</t>
  </si>
  <si>
    <t>B19DCVT410</t>
  </si>
  <si>
    <t>B19DCVT426</t>
  </si>
  <si>
    <t>B19DCVT335</t>
  </si>
  <si>
    <t>B19DCVT341</t>
  </si>
  <si>
    <t>Lưu Minh</t>
  </si>
  <si>
    <t>B19DCVT351</t>
  </si>
  <si>
    <t>Lê Công Yên</t>
  </si>
  <si>
    <t>B19DCDT208</t>
  </si>
  <si>
    <t>B19DCVT357</t>
  </si>
  <si>
    <t>B19DCVT367</t>
  </si>
  <si>
    <t>B19DCDT213</t>
  </si>
  <si>
    <t>Phạm Long</t>
  </si>
  <si>
    <t>B19DCVT433</t>
  </si>
  <si>
    <t>B19DCDT254</t>
  </si>
  <si>
    <t>B16DCCN003</t>
  </si>
  <si>
    <t>BAS1224_19</t>
  </si>
  <si>
    <t>B19DCDT004</t>
  </si>
  <si>
    <t>B19DCVT010</t>
  </si>
  <si>
    <t>B19DCDT015</t>
  </si>
  <si>
    <t>B19DCVT044</t>
  </si>
  <si>
    <t>B19DCVT046</t>
  </si>
  <si>
    <t>B19DCVT034</t>
  </si>
  <si>
    <t>B19DCDT024</t>
  </si>
  <si>
    <t>B19DCDT028</t>
  </si>
  <si>
    <t>Diệm</t>
  </si>
  <si>
    <t>B19DCVT054</t>
  </si>
  <si>
    <t>B18DCCN098</t>
  </si>
  <si>
    <t>B19DCVT059</t>
  </si>
  <si>
    <t>B19DCCN135</t>
  </si>
  <si>
    <t>Trần Đăng</t>
  </si>
  <si>
    <t>B19DCCN137</t>
  </si>
  <si>
    <t>Hán Ngọc</t>
  </si>
  <si>
    <t>B19DCVT063</t>
  </si>
  <si>
    <t>B19DCVT081</t>
  </si>
  <si>
    <t>B19DCVT084</t>
  </si>
  <si>
    <t>Trần Vũ</t>
  </si>
  <si>
    <t>B19DCVT088</t>
  </si>
  <si>
    <t>B19DCDT055</t>
  </si>
  <si>
    <t>B19DCVT095</t>
  </si>
  <si>
    <t>B19DCVT098</t>
  </si>
  <si>
    <t>B18DCCN183</t>
  </si>
  <si>
    <t>D18CQCN07-B</t>
  </si>
  <si>
    <t>B19DCDT065</t>
  </si>
  <si>
    <t>Hoàng Trường</t>
  </si>
  <si>
    <t>B19DCVT111</t>
  </si>
  <si>
    <t>B19DCDT070</t>
  </si>
  <si>
    <t>B19DCVT122</t>
  </si>
  <si>
    <t>B19DCDT072</t>
  </si>
  <si>
    <t>B19DCVT124</t>
  </si>
  <si>
    <t>Nông Vĩnh</t>
  </si>
  <si>
    <t>B19DCVT127</t>
  </si>
  <si>
    <t>Trương Gia</t>
  </si>
  <si>
    <t>B19DCVT134</t>
  </si>
  <si>
    <t>B19DCVT149</t>
  </si>
  <si>
    <t>B19DCVT150</t>
  </si>
  <si>
    <t>B19DCVT160</t>
  </si>
  <si>
    <t>B19DCDT099</t>
  </si>
  <si>
    <t>Phạm Quỳnh</t>
  </si>
  <si>
    <t>B19DCVT164</t>
  </si>
  <si>
    <t>B19DCVT178</t>
  </si>
  <si>
    <t>B19DCVT187</t>
  </si>
  <si>
    <t>B17DCCN353</t>
  </si>
  <si>
    <t>Khương</t>
  </si>
  <si>
    <t>D17CQCN05-B</t>
  </si>
  <si>
    <t>B16DCVT178</t>
  </si>
  <si>
    <t>D16CQVT02-B</t>
  </si>
  <si>
    <t>B19DCVT226</t>
  </si>
  <si>
    <t>B18DCCN336</t>
  </si>
  <si>
    <t>Chu Hữu</t>
  </si>
  <si>
    <t>D18CQCN06-B</t>
  </si>
  <si>
    <t>B18DCAT138</t>
  </si>
  <si>
    <t>Hán Nam</t>
  </si>
  <si>
    <t>B19DCDT133</t>
  </si>
  <si>
    <t>Lê Đình Thành</t>
  </si>
  <si>
    <t>B15DCCN317</t>
  </si>
  <si>
    <t>D15HTTT4</t>
  </si>
  <si>
    <t>B19DCDT136</t>
  </si>
  <si>
    <t>Hoàng Nhật</t>
  </si>
  <si>
    <t>B19DCDT138</t>
  </si>
  <si>
    <t>B19DCDT141</t>
  </si>
  <si>
    <t>B19DCVT249</t>
  </si>
  <si>
    <t>B19DCCN434</t>
  </si>
  <si>
    <t>Nguyễn Đức Quang</t>
  </si>
  <si>
    <t>B19DCDT146</t>
  </si>
  <si>
    <t>B19DCVT258</t>
  </si>
  <si>
    <t>Tiêu Vũ Quang</t>
  </si>
  <si>
    <t>B19DCVT263</t>
  </si>
  <si>
    <t>Đặng Vũ</t>
  </si>
  <si>
    <t>B19DCCN469</t>
  </si>
  <si>
    <t>B19DCDT162</t>
  </si>
  <si>
    <t>Luyện Thị Ánh</t>
  </si>
  <si>
    <t>B19DCCN488</t>
  </si>
  <si>
    <t>Bùi Cảnh</t>
  </si>
  <si>
    <t>Nhuận</t>
  </si>
  <si>
    <t>B15DCAT130</t>
  </si>
  <si>
    <t>D15CQAT02-B</t>
  </si>
  <si>
    <t>B19DCVT291</t>
  </si>
  <si>
    <t>B16DCAT129</t>
  </si>
  <si>
    <t>Khuất Minh</t>
  </si>
  <si>
    <t>D16CQAT01-B</t>
  </si>
  <si>
    <t>B19DCVT294</t>
  </si>
  <si>
    <t>B19DCVT299</t>
  </si>
  <si>
    <t>B19DCVT302</t>
  </si>
  <si>
    <t>B19DCDT180</t>
  </si>
  <si>
    <t>Dương Xuân</t>
  </si>
  <si>
    <t>B18DCVT351</t>
  </si>
  <si>
    <t>D18CQVT07-B</t>
  </si>
  <si>
    <t>B19DCVT310</t>
  </si>
  <si>
    <t>B19DCVT315</t>
  </si>
  <si>
    <t>Đặng Minh</t>
  </si>
  <si>
    <t>B19DCCN639</t>
  </si>
  <si>
    <t>B19DCVT370</t>
  </si>
  <si>
    <t>B19DCVT373</t>
  </si>
  <si>
    <t>Đinh Hữu</t>
  </si>
  <si>
    <t>B19DCVT374</t>
  </si>
  <si>
    <t>B19DCVT376</t>
  </si>
  <si>
    <t>B19DCDT236</t>
  </si>
  <si>
    <t>B19DCDT237</t>
  </si>
  <si>
    <t>B19DCDT240</t>
  </si>
  <si>
    <t>Phan Thị Thanh</t>
  </si>
  <si>
    <t>B17DCCN589</t>
  </si>
  <si>
    <t>Ngọ Duy</t>
  </si>
  <si>
    <t>Thứ</t>
  </si>
  <si>
    <t>D17CQCN01-B</t>
  </si>
  <si>
    <t>B19DCVT318</t>
  </si>
  <si>
    <t>Lưu Long</t>
  </si>
  <si>
    <t>B19DCVT414</t>
  </si>
  <si>
    <t>B19DCDT248</t>
  </si>
  <si>
    <t>B19DCVT334</t>
  </si>
  <si>
    <t>B19DCVT338</t>
  </si>
  <si>
    <t>Bàn Anh</t>
  </si>
  <si>
    <t>B16DCVT340</t>
  </si>
  <si>
    <t>B19DCDT212</t>
  </si>
  <si>
    <t>B19DCVT001</t>
  </si>
  <si>
    <t>BAS1224_20</t>
  </si>
  <si>
    <t>B19DCVT003</t>
  </si>
  <si>
    <t>B19DCVT007</t>
  </si>
  <si>
    <t>B19DCDT012</t>
  </si>
  <si>
    <t>B19DCCN028</t>
  </si>
  <si>
    <t>Nguyễn Ngọc Đức</t>
  </si>
  <si>
    <t>B19DCCN029</t>
  </si>
  <si>
    <t>Nguyễn Ngọc Phúc</t>
  </si>
  <si>
    <t>B19DCVT014</t>
  </si>
  <si>
    <t>B19DCDT016</t>
  </si>
  <si>
    <t>B19DCVT028</t>
  </si>
  <si>
    <t>Giáp Thị Ngọc</t>
  </si>
  <si>
    <t>B19DCDT026</t>
  </si>
  <si>
    <t>B19DCDT025</t>
  </si>
  <si>
    <t>B19DCDT033</t>
  </si>
  <si>
    <t>B19DCVT073</t>
  </si>
  <si>
    <t>B14DCVT226</t>
  </si>
  <si>
    <t>D14CQVT02-B</t>
  </si>
  <si>
    <t>B19DCDT044</t>
  </si>
  <si>
    <t>B19DCVT078</t>
  </si>
  <si>
    <t>B19DCDT049</t>
  </si>
  <si>
    <t>Nguyễn Hữu Thành</t>
  </si>
  <si>
    <t>B19DCDT056</t>
  </si>
  <si>
    <t>Dương Minh</t>
  </si>
  <si>
    <t>B19DCVT091</t>
  </si>
  <si>
    <t>B19DCDT058</t>
  </si>
  <si>
    <t>B19DCDT059</t>
  </si>
  <si>
    <t>B19DCDT063</t>
  </si>
  <si>
    <t>Trần Huỳnh Anh</t>
  </si>
  <si>
    <t>B19DCVT117</t>
  </si>
  <si>
    <t>B18DCCN202</t>
  </si>
  <si>
    <t>Vũ Thị Thu</t>
  </si>
  <si>
    <t>D18CQCN04-B</t>
  </si>
  <si>
    <t>B19DCVT135</t>
  </si>
  <si>
    <t>B19DCDT079</t>
  </si>
  <si>
    <t>B19DCVT145</t>
  </si>
  <si>
    <t>B19DCVT161</t>
  </si>
  <si>
    <t>Võ Việt</t>
  </si>
  <si>
    <t>B19DCVT184</t>
  </si>
  <si>
    <t>B19DCVT185</t>
  </si>
  <si>
    <t>B19DCVT190</t>
  </si>
  <si>
    <t>B19DCVT200</t>
  </si>
  <si>
    <t>B16DCCN191</t>
  </si>
  <si>
    <t>B19DCVT207</t>
  </si>
  <si>
    <t>B19DCDT123</t>
  </si>
  <si>
    <t>Khoái</t>
  </si>
  <si>
    <t>B19DCDT113</t>
  </si>
  <si>
    <t>B19DCCN366</t>
  </si>
  <si>
    <t>B19DCVT212</t>
  </si>
  <si>
    <t>Đặng Hoàng Phúc</t>
  </si>
  <si>
    <t>B19DCDT128</t>
  </si>
  <si>
    <t>B19DCVT219</t>
  </si>
  <si>
    <t>B19DCVT229</t>
  </si>
  <si>
    <t>Hoàng Nguyễn Hải</t>
  </si>
  <si>
    <t>B19DCDT140</t>
  </si>
  <si>
    <t>Nguyễn Văn Minh</t>
  </si>
  <si>
    <t>B19DCDT143</t>
  </si>
  <si>
    <t>B19DCVT253</t>
  </si>
  <si>
    <t>B19DCVT270</t>
  </si>
  <si>
    <t>B19DCDT159</t>
  </si>
  <si>
    <t>Hoàng Thị Hồng</t>
  </si>
  <si>
    <t>Ngát</t>
  </si>
  <si>
    <t>B19DCCN481</t>
  </si>
  <si>
    <t>Vũ Duy</t>
  </si>
  <si>
    <t>B19DCCN486</t>
  </si>
  <si>
    <t>B19DCVT282</t>
  </si>
  <si>
    <t>B16DCVT239</t>
  </si>
  <si>
    <t>D16CQVT07-B</t>
  </si>
  <si>
    <t>B19DCCN505</t>
  </si>
  <si>
    <t>B19DCCN517</t>
  </si>
  <si>
    <t>Bùi Đăng</t>
  </si>
  <si>
    <t>B19DCVT292</t>
  </si>
  <si>
    <t>B17DCCN507</t>
  </si>
  <si>
    <t>D17CQCN03-B</t>
  </si>
  <si>
    <t>B19DCVT298</t>
  </si>
  <si>
    <t>B19DCDT178</t>
  </si>
  <si>
    <t>B19DCCN529</t>
  </si>
  <si>
    <t>B19DCVT301</t>
  </si>
  <si>
    <t>B19DCVT307</t>
  </si>
  <si>
    <t>B19DCDT184</t>
  </si>
  <si>
    <t>B19DCCN553</t>
  </si>
  <si>
    <t>B19DCCN565</t>
  </si>
  <si>
    <t>B19DCVT316</t>
  </si>
  <si>
    <t>B19DCDT188</t>
  </si>
  <si>
    <t>B19DCDT189</t>
  </si>
  <si>
    <t>Nguyễn Phan Huy</t>
  </si>
  <si>
    <t>B19DCAT158</t>
  </si>
  <si>
    <t>B19DCVT372</t>
  </si>
  <si>
    <t>B19DCDT222</t>
  </si>
  <si>
    <t>Nguyễn Tân</t>
  </si>
  <si>
    <t>B19DCDT225</t>
  </si>
  <si>
    <t>B19DCVT379</t>
  </si>
  <si>
    <t>B19DCDT228</t>
  </si>
  <si>
    <t>B19DCVT384</t>
  </si>
  <si>
    <t>B19DCVT388</t>
  </si>
  <si>
    <t>B19DCVT389</t>
  </si>
  <si>
    <t>Vũ Bảo</t>
  </si>
  <si>
    <t>B19DCDT238</t>
  </si>
  <si>
    <t>B19DCVT400</t>
  </si>
  <si>
    <t>B19DCVT330</t>
  </si>
  <si>
    <t>B19DCCN594</t>
  </si>
  <si>
    <t>B19DCDT246</t>
  </si>
  <si>
    <t>B19DCVT423</t>
  </si>
  <si>
    <t>Đoàn Xuân</t>
  </si>
  <si>
    <t>B19DCVT339</t>
  </si>
  <si>
    <t>B19DCVT343</t>
  </si>
  <si>
    <t>B19DCVT360</t>
  </si>
  <si>
    <t>B19DCVT438</t>
  </si>
  <si>
    <t>B19DCVT445</t>
  </si>
  <si>
    <t xml:space="preserve">Vật lý </t>
  </si>
  <si>
    <t>Lê Minh Thanh</t>
  </si>
  <si>
    <t>0.5TN</t>
  </si>
  <si>
    <t>1 KT</t>
  </si>
  <si>
    <t>1 CC</t>
  </si>
  <si>
    <t>1 TN</t>
  </si>
  <si>
    <t>1 TN, +1 KT</t>
  </si>
  <si>
    <t>0.5TN, +1 KT</t>
  </si>
  <si>
    <t>1.5TN, +2KT</t>
  </si>
  <si>
    <t>2 LT, +0.5TN</t>
  </si>
  <si>
    <t xml:space="preserve">Long </t>
  </si>
  <si>
    <t>Hà Nội, ngày 21 tháng 7 năm 2020</t>
  </si>
  <si>
    <t>1TN tặng NDĐồng N12</t>
  </si>
  <si>
    <t>tặng PMHiếu 0.25, PXHòa 0.5đ</t>
  </si>
  <si>
    <t>tặng TP.Quý N12</t>
  </si>
  <si>
    <t>1CC</t>
  </si>
  <si>
    <t>dư 1 LT</t>
  </si>
  <si>
    <t>NTC.Nhung tặng 1đ dư</t>
  </si>
  <si>
    <t>tặng PXLong 1đ dư</t>
  </si>
  <si>
    <t>dư 1.5đ</t>
  </si>
  <si>
    <t>dư 1đ</t>
  </si>
  <si>
    <t>NVHòa tặng 0.5TN +0.5CC</t>
  </si>
  <si>
    <t>NĐHuy tặng 0.5TN</t>
  </si>
  <si>
    <t>TTT.Hương tặng 1TN</t>
  </si>
  <si>
    <t>dư 0.5đ</t>
  </si>
  <si>
    <t>0.5TN tặng TPQúy N12</t>
  </si>
  <si>
    <t>BT.An và TTN.Hoài tặng 0.5TN</t>
  </si>
</sst>
</file>

<file path=xl/styles.xml><?xml version="1.0" encoding="utf-8"?>
<styleSheet xmlns="http://schemas.openxmlformats.org/spreadsheetml/2006/main">
  <numFmts count="1">
    <numFmt numFmtId="164" formatCode="0.0_);[Red]\(0.0\)"/>
  </numFmts>
  <fonts count="32">
    <font>
      <sz val="12"/>
      <name val=".VnTime"/>
    </font>
    <font>
      <sz val="12"/>
      <name val=".VnTime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sz val="11"/>
      <name val=".VnTime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1"/>
      <name val="Calibri"/>
      <family val="2"/>
    </font>
    <font>
      <b/>
      <i/>
      <sz val="11"/>
      <name val="Times New Roman"/>
      <family val="1"/>
    </font>
    <font>
      <i/>
      <sz val="11"/>
      <name val="Times New Roman"/>
      <family val="1"/>
    </font>
    <font>
      <sz val="14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46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6" fillId="0" borderId="0"/>
    <xf numFmtId="0" fontId="17" fillId="0" borderId="0"/>
    <xf numFmtId="0" fontId="1" fillId="23" borderId="7" applyNumberFormat="0" applyFont="0" applyAlignment="0" applyProtection="0"/>
    <xf numFmtId="0" fontId="18" fillId="20" borderId="8" applyNumberFormat="0" applyAlignment="0" applyProtection="0"/>
    <xf numFmtId="0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28" fillId="0" borderId="0"/>
  </cellStyleXfs>
  <cellXfs count="92">
    <xf numFmtId="0" fontId="0" fillId="0" borderId="0" xfId="0"/>
    <xf numFmtId="0" fontId="25" fillId="0" borderId="0" xfId="0" applyFont="1" applyFill="1" applyProtection="1">
      <protection locked="0"/>
    </xf>
    <xf numFmtId="0" fontId="22" fillId="0" borderId="0" xfId="0" applyFont="1" applyFill="1" applyProtection="1">
      <protection locked="0"/>
    </xf>
    <xf numFmtId="0" fontId="22" fillId="0" borderId="0" xfId="38" applyFont="1" applyFill="1" applyAlignment="1" applyProtection="1">
      <alignment horizontal="center" vertical="center"/>
      <protection locked="0"/>
    </xf>
    <xf numFmtId="0" fontId="22" fillId="0" borderId="0" xfId="38" applyFont="1" applyFill="1" applyProtection="1">
      <protection locked="0"/>
    </xf>
    <xf numFmtId="0" fontId="23" fillId="24" borderId="10" xfId="0" applyFont="1" applyFill="1" applyBorder="1" applyAlignment="1" applyProtection="1">
      <alignment horizontal="center" vertical="center" wrapText="1"/>
      <protection locked="0"/>
    </xf>
    <xf numFmtId="0" fontId="23" fillId="24" borderId="10" xfId="0" applyFont="1" applyFill="1" applyBorder="1" applyAlignment="1" applyProtection="1">
      <alignment horizontal="center"/>
      <protection locked="0"/>
    </xf>
    <xf numFmtId="0" fontId="26" fillId="0" borderId="0" xfId="38" applyFont="1" applyFill="1" applyAlignment="1" applyProtection="1">
      <alignment vertical="center"/>
      <protection locked="0"/>
    </xf>
    <xf numFmtId="0" fontId="22" fillId="0" borderId="0" xfId="38" applyFont="1" applyFill="1" applyAlignment="1" applyProtection="1">
      <alignment horizontal="center"/>
      <protection locked="0"/>
    </xf>
    <xf numFmtId="0" fontId="22" fillId="0" borderId="22" xfId="0" applyFont="1" applyFill="1" applyBorder="1"/>
    <xf numFmtId="0" fontId="22" fillId="0" borderId="24" xfId="0" applyFont="1" applyFill="1" applyBorder="1"/>
    <xf numFmtId="0" fontId="23" fillId="0" borderId="23" xfId="0" applyFont="1" applyFill="1" applyBorder="1"/>
    <xf numFmtId="0" fontId="23" fillId="0" borderId="25" xfId="0" applyFont="1" applyFill="1" applyBorder="1"/>
    <xf numFmtId="0" fontId="22" fillId="0" borderId="20" xfId="38" applyFont="1" applyFill="1" applyBorder="1" applyAlignment="1" applyProtection="1">
      <alignment horizontal="center" vertical="center"/>
      <protection locked="0"/>
    </xf>
    <xf numFmtId="0" fontId="22" fillId="0" borderId="20" xfId="0" applyFont="1" applyFill="1" applyBorder="1" applyAlignment="1" applyProtection="1">
      <alignment horizontal="center" vertical="center"/>
      <protection hidden="1"/>
    </xf>
    <xf numFmtId="0" fontId="22" fillId="0" borderId="21" xfId="38" applyFont="1" applyFill="1" applyBorder="1" applyAlignment="1" applyProtection="1">
      <alignment horizontal="center" vertical="center"/>
      <protection locked="0"/>
    </xf>
    <xf numFmtId="0" fontId="22" fillId="0" borderId="21" xfId="0" applyFont="1" applyFill="1" applyBorder="1" applyAlignment="1" applyProtection="1">
      <alignment horizontal="center" vertical="center"/>
      <protection hidden="1"/>
    </xf>
    <xf numFmtId="164" fontId="22" fillId="0" borderId="20" xfId="37" quotePrefix="1" applyNumberFormat="1" applyFont="1" applyBorder="1" applyAlignment="1" applyProtection="1">
      <alignment horizontal="center" vertical="center"/>
      <protection locked="0"/>
    </xf>
    <xf numFmtId="164" fontId="22" fillId="0" borderId="21" xfId="37" quotePrefix="1" applyNumberFormat="1" applyFont="1" applyBorder="1" applyAlignment="1" applyProtection="1">
      <alignment horizontal="center" vertical="center"/>
      <protection locked="0"/>
    </xf>
    <xf numFmtId="0" fontId="22" fillId="0" borderId="20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22" fillId="0" borderId="20" xfId="45" applyNumberFormat="1" applyFont="1" applyBorder="1" applyAlignment="1">
      <alignment horizontal="center" vertical="center"/>
    </xf>
    <xf numFmtId="0" fontId="22" fillId="0" borderId="21" xfId="45" applyNumberFormat="1" applyFont="1" applyBorder="1" applyAlignment="1">
      <alignment horizontal="center" vertical="center"/>
    </xf>
    <xf numFmtId="0" fontId="23" fillId="0" borderId="0" xfId="38" applyFont="1" applyFill="1" applyAlignment="1" applyProtection="1">
      <alignment horizontal="left" vertical="center"/>
      <protection locked="0"/>
    </xf>
    <xf numFmtId="0" fontId="25" fillId="0" borderId="0" xfId="0" applyFont="1" applyFill="1" applyAlignment="1" applyProtection="1">
      <alignment horizontal="center"/>
      <protection locked="0"/>
    </xf>
    <xf numFmtId="0" fontId="23" fillId="0" borderId="0" xfId="0" applyFont="1" applyAlignment="1"/>
    <xf numFmtId="0" fontId="22" fillId="0" borderId="0" xfId="0" applyFont="1" applyAlignment="1"/>
    <xf numFmtId="0" fontId="25" fillId="0" borderId="0" xfId="0" applyFont="1" applyFill="1" applyAlignment="1" applyProtection="1">
      <alignment horizontal="center"/>
      <protection locked="0"/>
    </xf>
    <xf numFmtId="0" fontId="25" fillId="0" borderId="0" xfId="0" applyFont="1" applyFill="1" applyAlignment="1" applyProtection="1">
      <alignment horizontal="center"/>
      <protection locked="0"/>
    </xf>
    <xf numFmtId="0" fontId="23" fillId="0" borderId="0" xfId="38" applyFont="1" applyFill="1" applyAlignment="1" applyProtection="1">
      <alignment horizontal="left" vertical="center"/>
      <protection locked="0"/>
    </xf>
    <xf numFmtId="0" fontId="25" fillId="0" borderId="0" xfId="0" applyFont="1" applyFill="1" applyAlignment="1" applyProtection="1">
      <alignment horizontal="center"/>
      <protection locked="0"/>
    </xf>
    <xf numFmtId="0" fontId="23" fillId="0" borderId="0" xfId="38" applyFont="1" applyFill="1" applyAlignment="1" applyProtection="1">
      <alignment horizontal="left" vertical="center"/>
      <protection locked="0"/>
    </xf>
    <xf numFmtId="0" fontId="25" fillId="0" borderId="0" xfId="0" applyFont="1" applyFill="1" applyAlignment="1" applyProtection="1">
      <alignment horizontal="center"/>
      <protection locked="0"/>
    </xf>
    <xf numFmtId="0" fontId="23" fillId="0" borderId="0" xfId="38" applyFont="1" applyFill="1" applyAlignment="1" applyProtection="1">
      <alignment horizontal="left" vertical="center"/>
      <protection locked="0"/>
    </xf>
    <xf numFmtId="0" fontId="25" fillId="0" borderId="0" xfId="0" applyFont="1" applyFill="1" applyAlignment="1" applyProtection="1">
      <alignment vertical="center"/>
      <protection locked="0"/>
    </xf>
    <xf numFmtId="0" fontId="22" fillId="0" borderId="0" xfId="38" applyFont="1" applyFill="1" applyAlignment="1" applyProtection="1">
      <alignment vertical="center"/>
      <protection locked="0"/>
    </xf>
    <xf numFmtId="0" fontId="22" fillId="0" borderId="22" xfId="0" applyFont="1" applyFill="1" applyBorder="1" applyAlignment="1">
      <alignment vertical="center"/>
    </xf>
    <xf numFmtId="0" fontId="23" fillId="0" borderId="23" xfId="0" applyFont="1" applyFill="1" applyBorder="1" applyAlignment="1">
      <alignment vertical="center"/>
    </xf>
    <xf numFmtId="0" fontId="22" fillId="0" borderId="24" xfId="0" applyFont="1" applyFill="1" applyBorder="1" applyAlignment="1">
      <alignment vertical="center"/>
    </xf>
    <xf numFmtId="0" fontId="23" fillId="0" borderId="25" xfId="0" applyFont="1" applyFill="1" applyBorder="1" applyAlignment="1">
      <alignment vertical="center"/>
    </xf>
    <xf numFmtId="0" fontId="23" fillId="0" borderId="0" xfId="38" applyFont="1" applyFill="1" applyAlignment="1" applyProtection="1">
      <alignment horizontal="left" vertical="center"/>
      <protection locked="0"/>
    </xf>
    <xf numFmtId="0" fontId="25" fillId="0" borderId="0" xfId="0" applyFont="1" applyFill="1" applyAlignment="1" applyProtection="1">
      <alignment horizontal="center"/>
      <protection locked="0"/>
    </xf>
    <xf numFmtId="0" fontId="22" fillId="25" borderId="21" xfId="38" applyFont="1" applyFill="1" applyBorder="1" applyAlignment="1" applyProtection="1">
      <alignment horizontal="center" vertical="center"/>
      <protection locked="0"/>
    </xf>
    <xf numFmtId="0" fontId="22" fillId="25" borderId="21" xfId="45" applyNumberFormat="1" applyFont="1" applyFill="1" applyBorder="1" applyAlignment="1">
      <alignment horizontal="center" vertical="center"/>
    </xf>
    <xf numFmtId="0" fontId="22" fillId="25" borderId="24" xfId="0" applyFont="1" applyFill="1" applyBorder="1" applyAlignment="1">
      <alignment vertical="center"/>
    </xf>
    <xf numFmtId="0" fontId="23" fillId="25" borderId="25" xfId="0" applyFont="1" applyFill="1" applyBorder="1" applyAlignment="1">
      <alignment vertical="center"/>
    </xf>
    <xf numFmtId="0" fontId="22" fillId="25" borderId="21" xfId="0" applyFont="1" applyFill="1" applyBorder="1" applyAlignment="1">
      <alignment horizontal="center" vertical="center"/>
    </xf>
    <xf numFmtId="164" fontId="22" fillId="25" borderId="21" xfId="37" quotePrefix="1" applyNumberFormat="1" applyFont="1" applyFill="1" applyBorder="1" applyAlignment="1" applyProtection="1">
      <alignment horizontal="center" vertical="center"/>
      <protection locked="0"/>
    </xf>
    <xf numFmtId="0" fontId="22" fillId="25" borderId="21" xfId="0" applyFont="1" applyFill="1" applyBorder="1" applyAlignment="1" applyProtection="1">
      <alignment horizontal="center" vertical="center"/>
      <protection hidden="1"/>
    </xf>
    <xf numFmtId="0" fontId="25" fillId="25" borderId="0" xfId="0" applyFont="1" applyFill="1" applyProtection="1">
      <protection locked="0"/>
    </xf>
    <xf numFmtId="9" fontId="22" fillId="24" borderId="10" xfId="0" applyNumberFormat="1" applyFont="1" applyFill="1" applyBorder="1" applyAlignment="1" applyProtection="1">
      <alignment horizontal="center" vertical="center" wrapText="1"/>
      <protection locked="0"/>
    </xf>
    <xf numFmtId="0" fontId="31" fillId="0" borderId="0" xfId="0" applyFont="1" applyFill="1" applyAlignment="1" applyProtection="1">
      <alignment horizontal="left" vertical="center"/>
      <protection locked="0"/>
    </xf>
    <xf numFmtId="0" fontId="25" fillId="0" borderId="0" xfId="0" applyFont="1" applyFill="1" applyAlignment="1" applyProtection="1">
      <alignment horizontal="left" vertical="center"/>
      <protection locked="0"/>
    </xf>
    <xf numFmtId="0" fontId="31" fillId="25" borderId="0" xfId="0" applyFont="1" applyFill="1" applyAlignment="1" applyProtection="1">
      <alignment horizontal="left" vertical="center"/>
      <protection locked="0"/>
    </xf>
    <xf numFmtId="0" fontId="25" fillId="25" borderId="0" xfId="0" applyFont="1" applyFill="1" applyAlignment="1" applyProtection="1">
      <alignment horizontal="left" vertical="center"/>
      <protection locked="0"/>
    </xf>
    <xf numFmtId="0" fontId="25" fillId="0" borderId="0" xfId="0" applyFont="1" applyFill="1" applyAlignment="1" applyProtection="1">
      <alignment horizontal="left"/>
      <protection locked="0"/>
    </xf>
    <xf numFmtId="0" fontId="25" fillId="0" borderId="0" xfId="0" applyFont="1" applyFill="1" applyAlignment="1" applyProtection="1">
      <alignment horizontal="center"/>
      <protection locked="0"/>
    </xf>
    <xf numFmtId="0" fontId="26" fillId="0" borderId="0" xfId="0" applyFont="1" applyFill="1" applyAlignment="1" applyProtection="1">
      <alignment horizontal="center" wrapText="1"/>
      <protection locked="0"/>
    </xf>
    <xf numFmtId="0" fontId="26" fillId="0" borderId="0" xfId="0" applyFont="1" applyFill="1" applyAlignment="1" applyProtection="1">
      <alignment horizontal="center"/>
      <protection locked="0"/>
    </xf>
    <xf numFmtId="0" fontId="27" fillId="0" borderId="11" xfId="0" applyFont="1" applyFill="1" applyBorder="1" applyAlignment="1" applyProtection="1">
      <alignment horizontal="center" vertical="center" wrapText="1"/>
      <protection locked="0"/>
    </xf>
    <xf numFmtId="0" fontId="27" fillId="0" borderId="17" xfId="0" applyFont="1" applyFill="1" applyBorder="1" applyAlignment="1" applyProtection="1">
      <alignment horizontal="center" vertical="center" wrapText="1"/>
      <protection locked="0"/>
    </xf>
    <xf numFmtId="0" fontId="27" fillId="0" borderId="12" xfId="0" applyFont="1" applyFill="1" applyBorder="1" applyAlignment="1" applyProtection="1">
      <alignment horizontal="center" vertical="center" wrapText="1"/>
      <protection locked="0"/>
    </xf>
    <xf numFmtId="0" fontId="27" fillId="0" borderId="18" xfId="0" applyFont="1" applyFill="1" applyBorder="1" applyAlignment="1" applyProtection="1">
      <alignment horizontal="center" vertical="center" wrapText="1"/>
      <protection locked="0"/>
    </xf>
    <xf numFmtId="0" fontId="27" fillId="0" borderId="19" xfId="0" applyFont="1" applyFill="1" applyBorder="1" applyAlignment="1" applyProtection="1">
      <alignment horizontal="center" vertical="center" wrapText="1"/>
      <protection locked="0"/>
    </xf>
    <xf numFmtId="0" fontId="22" fillId="0" borderId="0" xfId="0" quotePrefix="1" applyFont="1" applyFill="1" applyBorder="1" applyAlignment="1" applyProtection="1">
      <alignment horizontal="left"/>
      <protection locked="0"/>
    </xf>
    <xf numFmtId="0" fontId="27" fillId="0" borderId="11" xfId="0" applyFont="1" applyFill="1" applyBorder="1" applyAlignment="1" applyProtection="1">
      <alignment horizontal="center" vertical="center" textRotation="90" wrapText="1"/>
      <protection locked="0"/>
    </xf>
    <xf numFmtId="0" fontId="27" fillId="0" borderId="12" xfId="0" applyFont="1" applyFill="1" applyBorder="1" applyAlignment="1" applyProtection="1">
      <alignment horizontal="center" vertical="center" textRotation="90" wrapText="1"/>
      <protection locked="0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11" xfId="0" applyNumberFormat="1" applyFont="1" applyBorder="1" applyAlignment="1">
      <alignment horizontal="center"/>
    </xf>
    <xf numFmtId="49" fontId="0" fillId="0" borderId="12" xfId="0" applyNumberFormat="1" applyFont="1" applyBorder="1" applyAlignment="1">
      <alignment horizontal="center"/>
    </xf>
    <xf numFmtId="0" fontId="27" fillId="0" borderId="11" xfId="0" applyFont="1" applyFill="1" applyBorder="1" applyAlignment="1" applyProtection="1">
      <alignment horizontal="center" vertical="center"/>
      <protection locked="0"/>
    </xf>
    <xf numFmtId="0" fontId="27" fillId="0" borderId="12" xfId="0" applyFont="1" applyFill="1" applyBorder="1" applyAlignment="1" applyProtection="1">
      <alignment horizontal="center" vertical="center"/>
      <protection locked="0"/>
    </xf>
    <xf numFmtId="0" fontId="27" fillId="0" borderId="13" xfId="0" applyFont="1" applyFill="1" applyBorder="1" applyAlignment="1" applyProtection="1">
      <alignment horizontal="center" vertical="center" wrapText="1"/>
      <protection locked="0"/>
    </xf>
    <xf numFmtId="0" fontId="27" fillId="0" borderId="14" xfId="0" applyFont="1" applyFill="1" applyBorder="1" applyAlignment="1" applyProtection="1">
      <alignment horizontal="center" vertical="center" wrapText="1"/>
      <protection locked="0"/>
    </xf>
    <xf numFmtId="0" fontId="27" fillId="0" borderId="15" xfId="0" applyFont="1" applyFill="1" applyBorder="1" applyAlignment="1" applyProtection="1">
      <alignment horizontal="center" vertical="center" wrapText="1"/>
      <protection locked="0"/>
    </xf>
    <xf numFmtId="0" fontId="27" fillId="0" borderId="16" xfId="0" applyFont="1" applyFill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23" fillId="0" borderId="0" xfId="38" applyFont="1" applyFill="1" applyAlignment="1" applyProtection="1">
      <alignment horizontal="right" vertical="center"/>
      <protection locked="0"/>
    </xf>
    <xf numFmtId="0" fontId="26" fillId="0" borderId="0" xfId="38" applyFont="1" applyFill="1" applyAlignment="1" applyProtection="1">
      <alignment horizontal="left" vertical="center"/>
      <protection locked="0"/>
    </xf>
    <xf numFmtId="0" fontId="26" fillId="0" borderId="0" xfId="38" applyFont="1" applyFill="1" applyAlignment="1" applyProtection="1">
      <alignment horizontal="right" vertical="center"/>
      <protection locked="0"/>
    </xf>
    <xf numFmtId="0" fontId="26" fillId="0" borderId="0" xfId="0" applyFont="1" applyFill="1" applyAlignment="1" applyProtection="1">
      <alignment horizontal="right" vertical="center"/>
      <protection locked="0"/>
    </xf>
    <xf numFmtId="0" fontId="23" fillId="0" borderId="0" xfId="38" applyFont="1" applyFill="1" applyAlignment="1" applyProtection="1">
      <alignment horizontal="left" vertical="center"/>
      <protection locked="0"/>
    </xf>
    <xf numFmtId="0" fontId="23" fillId="0" borderId="0" xfId="0" applyFont="1" applyAlignment="1">
      <alignment horizontal="center"/>
    </xf>
    <xf numFmtId="0" fontId="24" fillId="0" borderId="0" xfId="38" applyFont="1" applyFill="1" applyAlignment="1" applyProtection="1">
      <alignment horizontal="center" vertical="center"/>
      <protection locked="0"/>
    </xf>
    <xf numFmtId="0" fontId="22" fillId="0" borderId="0" xfId="0" applyFont="1" applyAlignment="1">
      <alignment horizontal="right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2" fillId="0" borderId="0" xfId="0" applyFont="1" applyFill="1" applyAlignment="1" applyProtection="1">
      <alignment horizontal="center"/>
      <protection locked="0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</cellXfs>
  <cellStyles count="4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5"/>
    <cellStyle name="Normal_DS_lop khoa_2009 (kem theo cac QD thanh lap lop)" xfId="37"/>
    <cellStyle name="Normal_Sheet1" xfId="38"/>
    <cellStyle name="Note" xfId="39" builtinId="10" customBuiltin="1"/>
    <cellStyle name="Output" xfId="40" builtinId="21" customBuiltin="1"/>
    <cellStyle name="Style 1" xfId="41"/>
    <cellStyle name="Title" xfId="42" builtinId="15" customBuiltin="1"/>
    <cellStyle name="Total" xfId="43" builtinId="25" customBuiltin="1"/>
    <cellStyle name="Warning Text" xfId="44" builtinId="11" customBuiltin="1"/>
  </cellStyles>
  <dxfs count="100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condense val="0"/>
        <extend val="0"/>
        <color rgb="FF9C0006"/>
      </font>
    </dxf>
    <dxf>
      <fill>
        <patternFill>
          <f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fgColor rgb="FFFF0000"/>
          <bgColor theme="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999"/>
      <tableStyleElement type="headerRow" dxfId="99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107"/>
  <sheetViews>
    <sheetView topLeftCell="A89" workbookViewId="0">
      <selection activeCell="B11" sqref="B11:B94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2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BAS1224_20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33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2723</v>
      </c>
      <c r="D10" s="9" t="s">
        <v>325</v>
      </c>
      <c r="E10" s="11" t="s">
        <v>26</v>
      </c>
      <c r="F10" s="19" t="s">
        <v>696</v>
      </c>
      <c r="G10" s="19" t="s">
        <v>397</v>
      </c>
      <c r="H10" s="19">
        <v>4</v>
      </c>
      <c r="I10" s="19" t="s">
        <v>2724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2725</v>
      </c>
      <c r="D11" s="10" t="s">
        <v>137</v>
      </c>
      <c r="E11" s="12" t="s">
        <v>26</v>
      </c>
      <c r="F11" s="20" t="s">
        <v>690</v>
      </c>
      <c r="G11" s="20" t="s">
        <v>397</v>
      </c>
      <c r="H11" s="20">
        <v>4</v>
      </c>
      <c r="I11" s="20" t="s">
        <v>2724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2726</v>
      </c>
      <c r="D12" s="10" t="s">
        <v>489</v>
      </c>
      <c r="E12" s="12" t="s">
        <v>26</v>
      </c>
      <c r="F12" s="20" t="s">
        <v>683</v>
      </c>
      <c r="G12" s="20" t="s">
        <v>397</v>
      </c>
      <c r="H12" s="20">
        <v>4</v>
      </c>
      <c r="I12" s="20" t="s">
        <v>2724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2727</v>
      </c>
      <c r="D13" s="10" t="s">
        <v>175</v>
      </c>
      <c r="E13" s="12" t="s">
        <v>27</v>
      </c>
      <c r="F13" s="20" t="s">
        <v>692</v>
      </c>
      <c r="G13" s="20" t="s">
        <v>397</v>
      </c>
      <c r="H13" s="20">
        <v>4</v>
      </c>
      <c r="I13" s="20" t="s">
        <v>2724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2728</v>
      </c>
      <c r="D14" s="10" t="s">
        <v>2729</v>
      </c>
      <c r="E14" s="12" t="s">
        <v>27</v>
      </c>
      <c r="F14" s="20" t="s">
        <v>414</v>
      </c>
      <c r="G14" s="20" t="s">
        <v>397</v>
      </c>
      <c r="H14" s="20">
        <v>4</v>
      </c>
      <c r="I14" s="20" t="s">
        <v>2724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2730</v>
      </c>
      <c r="D15" s="10" t="s">
        <v>2731</v>
      </c>
      <c r="E15" s="12" t="s">
        <v>27</v>
      </c>
      <c r="F15" s="20" t="s">
        <v>52</v>
      </c>
      <c r="G15" s="20" t="s">
        <v>397</v>
      </c>
      <c r="H15" s="20">
        <v>4</v>
      </c>
      <c r="I15" s="20" t="s">
        <v>2724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2732</v>
      </c>
      <c r="D16" s="10" t="s">
        <v>177</v>
      </c>
      <c r="E16" s="12" t="s">
        <v>27</v>
      </c>
      <c r="F16" s="20" t="s">
        <v>675</v>
      </c>
      <c r="G16" s="20" t="s">
        <v>397</v>
      </c>
      <c r="H16" s="20">
        <v>4</v>
      </c>
      <c r="I16" s="20" t="s">
        <v>2724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2733</v>
      </c>
      <c r="D17" s="10" t="s">
        <v>29</v>
      </c>
      <c r="E17" s="12" t="s">
        <v>27</v>
      </c>
      <c r="F17" s="20" t="s">
        <v>692</v>
      </c>
      <c r="G17" s="20" t="s">
        <v>397</v>
      </c>
      <c r="H17" s="20">
        <v>4</v>
      </c>
      <c r="I17" s="20" t="s">
        <v>2724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2734</v>
      </c>
      <c r="D18" s="10" t="s">
        <v>2735</v>
      </c>
      <c r="E18" s="12" t="s">
        <v>288</v>
      </c>
      <c r="F18" s="20" t="s">
        <v>756</v>
      </c>
      <c r="G18" s="20" t="s">
        <v>397</v>
      </c>
      <c r="H18" s="20">
        <v>4</v>
      </c>
      <c r="I18" s="20" t="s">
        <v>2724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2736</v>
      </c>
      <c r="D19" s="10" t="s">
        <v>53</v>
      </c>
      <c r="E19" s="12" t="s">
        <v>1828</v>
      </c>
      <c r="F19" s="20" t="s">
        <v>450</v>
      </c>
      <c r="G19" s="20" t="s">
        <v>397</v>
      </c>
      <c r="H19" s="20">
        <v>4</v>
      </c>
      <c r="I19" s="20" t="s">
        <v>2724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2737</v>
      </c>
      <c r="D20" s="10" t="s">
        <v>280</v>
      </c>
      <c r="E20" s="12" t="s">
        <v>180</v>
      </c>
      <c r="F20" s="20" t="s">
        <v>720</v>
      </c>
      <c r="G20" s="20" t="s">
        <v>397</v>
      </c>
      <c r="H20" s="20">
        <v>4</v>
      </c>
      <c r="I20" s="20" t="s">
        <v>2724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2738</v>
      </c>
      <c r="D21" s="10" t="s">
        <v>356</v>
      </c>
      <c r="E21" s="12" t="s">
        <v>135</v>
      </c>
      <c r="F21" s="20" t="s">
        <v>720</v>
      </c>
      <c r="G21" s="20" t="s">
        <v>397</v>
      </c>
      <c r="H21" s="20">
        <v>4</v>
      </c>
      <c r="I21" s="20" t="s">
        <v>2724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2739</v>
      </c>
      <c r="D22" s="10" t="s">
        <v>1112</v>
      </c>
      <c r="E22" s="12" t="s">
        <v>1110</v>
      </c>
      <c r="F22" s="20" t="s">
        <v>696</v>
      </c>
      <c r="G22" s="20" t="s">
        <v>397</v>
      </c>
      <c r="H22" s="20">
        <v>4</v>
      </c>
      <c r="I22" s="20" t="s">
        <v>2724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2740</v>
      </c>
      <c r="D23" s="10" t="s">
        <v>2425</v>
      </c>
      <c r="E23" s="12" t="s">
        <v>39</v>
      </c>
      <c r="F23" s="20" t="s">
        <v>2741</v>
      </c>
      <c r="G23" s="20" t="s">
        <v>397</v>
      </c>
      <c r="H23" s="20">
        <v>4</v>
      </c>
      <c r="I23" s="20" t="s">
        <v>2724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2742</v>
      </c>
      <c r="D24" s="10" t="s">
        <v>1833</v>
      </c>
      <c r="E24" s="12" t="s">
        <v>39</v>
      </c>
      <c r="F24" s="20" t="s">
        <v>692</v>
      </c>
      <c r="G24" s="20" t="s">
        <v>397</v>
      </c>
      <c r="H24" s="20">
        <v>4</v>
      </c>
      <c r="I24" s="20" t="s">
        <v>2724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2743</v>
      </c>
      <c r="D25" s="10" t="s">
        <v>186</v>
      </c>
      <c r="E25" s="12" t="s">
        <v>39</v>
      </c>
      <c r="F25" s="20" t="s">
        <v>675</v>
      </c>
      <c r="G25" s="20" t="s">
        <v>397</v>
      </c>
      <c r="H25" s="20">
        <v>4</v>
      </c>
      <c r="I25" s="20" t="s">
        <v>2724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2744</v>
      </c>
      <c r="D26" s="10" t="s">
        <v>2745</v>
      </c>
      <c r="E26" s="12" t="s">
        <v>39</v>
      </c>
      <c r="F26" s="20" t="s">
        <v>720</v>
      </c>
      <c r="G26" s="20" t="s">
        <v>397</v>
      </c>
      <c r="H26" s="20">
        <v>4</v>
      </c>
      <c r="I26" s="20" t="s">
        <v>2724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2746</v>
      </c>
      <c r="D27" s="10" t="s">
        <v>2747</v>
      </c>
      <c r="E27" s="12" t="s">
        <v>44</v>
      </c>
      <c r="F27" s="20" t="s">
        <v>692</v>
      </c>
      <c r="G27" s="20" t="s">
        <v>397</v>
      </c>
      <c r="H27" s="20">
        <v>4</v>
      </c>
      <c r="I27" s="20" t="s">
        <v>2724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2748</v>
      </c>
      <c r="D28" s="10" t="s">
        <v>138</v>
      </c>
      <c r="E28" s="12" t="s">
        <v>44</v>
      </c>
      <c r="F28" s="20" t="s">
        <v>690</v>
      </c>
      <c r="G28" s="20" t="s">
        <v>397</v>
      </c>
      <c r="H28" s="20">
        <v>4</v>
      </c>
      <c r="I28" s="20" t="s">
        <v>2724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2749</v>
      </c>
      <c r="D29" s="10" t="s">
        <v>214</v>
      </c>
      <c r="E29" s="12" t="s">
        <v>44</v>
      </c>
      <c r="F29" s="20" t="s">
        <v>450</v>
      </c>
      <c r="G29" s="20" t="s">
        <v>397</v>
      </c>
      <c r="H29" s="20">
        <v>4</v>
      </c>
      <c r="I29" s="20" t="s">
        <v>2724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2750</v>
      </c>
      <c r="D30" s="10" t="s">
        <v>2273</v>
      </c>
      <c r="E30" s="12" t="s">
        <v>44</v>
      </c>
      <c r="F30" s="20" t="s">
        <v>701</v>
      </c>
      <c r="G30" s="20" t="s">
        <v>397</v>
      </c>
      <c r="H30" s="20">
        <v>4</v>
      </c>
      <c r="I30" s="20" t="s">
        <v>2724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2751</v>
      </c>
      <c r="D31" s="10" t="s">
        <v>2752</v>
      </c>
      <c r="E31" s="12" t="s">
        <v>44</v>
      </c>
      <c r="F31" s="20" t="s">
        <v>701</v>
      </c>
      <c r="G31" s="20" t="s">
        <v>397</v>
      </c>
      <c r="H31" s="20">
        <v>4</v>
      </c>
      <c r="I31" s="20" t="s">
        <v>2724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2753</v>
      </c>
      <c r="D32" s="10" t="s">
        <v>559</v>
      </c>
      <c r="E32" s="12" t="s">
        <v>46</v>
      </c>
      <c r="F32" s="20" t="s">
        <v>694</v>
      </c>
      <c r="G32" s="20" t="s">
        <v>397</v>
      </c>
      <c r="H32" s="20">
        <v>4</v>
      </c>
      <c r="I32" s="20" t="s">
        <v>2724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2754</v>
      </c>
      <c r="D33" s="10" t="s">
        <v>2755</v>
      </c>
      <c r="E33" s="12" t="s">
        <v>213</v>
      </c>
      <c r="F33" s="20" t="s">
        <v>2756</v>
      </c>
      <c r="G33" s="20" t="s">
        <v>397</v>
      </c>
      <c r="H33" s="20">
        <v>4</v>
      </c>
      <c r="I33" s="20" t="s">
        <v>2724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2757</v>
      </c>
      <c r="D34" s="10" t="s">
        <v>127</v>
      </c>
      <c r="E34" s="12" t="s">
        <v>49</v>
      </c>
      <c r="F34" s="20" t="s">
        <v>683</v>
      </c>
      <c r="G34" s="20" t="s">
        <v>397</v>
      </c>
      <c r="H34" s="20">
        <v>4</v>
      </c>
      <c r="I34" s="20" t="s">
        <v>2724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2758</v>
      </c>
      <c r="D35" s="10" t="s">
        <v>226</v>
      </c>
      <c r="E35" s="12" t="s">
        <v>49</v>
      </c>
      <c r="F35" s="20" t="s">
        <v>701</v>
      </c>
      <c r="G35" s="20" t="s">
        <v>397</v>
      </c>
      <c r="H35" s="20">
        <v>4</v>
      </c>
      <c r="I35" s="20" t="s">
        <v>2724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2759</v>
      </c>
      <c r="D36" s="10" t="s">
        <v>63</v>
      </c>
      <c r="E36" s="12" t="s">
        <v>49</v>
      </c>
      <c r="F36" s="20" t="s">
        <v>696</v>
      </c>
      <c r="G36" s="20" t="s">
        <v>397</v>
      </c>
      <c r="H36" s="20">
        <v>4</v>
      </c>
      <c r="I36" s="20" t="s">
        <v>2724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2760</v>
      </c>
      <c r="D37" s="10" t="s">
        <v>2761</v>
      </c>
      <c r="E37" s="12" t="s">
        <v>53</v>
      </c>
      <c r="F37" s="20" t="s">
        <v>696</v>
      </c>
      <c r="G37" s="20" t="s">
        <v>397</v>
      </c>
      <c r="H37" s="20">
        <v>4</v>
      </c>
      <c r="I37" s="20" t="s">
        <v>2724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2762</v>
      </c>
      <c r="D38" s="10" t="s">
        <v>241</v>
      </c>
      <c r="E38" s="12" t="s">
        <v>62</v>
      </c>
      <c r="F38" s="20" t="s">
        <v>687</v>
      </c>
      <c r="G38" s="20" t="s">
        <v>397</v>
      </c>
      <c r="H38" s="20">
        <v>4</v>
      </c>
      <c r="I38" s="20" t="s">
        <v>2724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2763</v>
      </c>
      <c r="D39" s="9" t="s">
        <v>1777</v>
      </c>
      <c r="E39" s="11" t="s">
        <v>62</v>
      </c>
      <c r="F39" s="19" t="s">
        <v>696</v>
      </c>
      <c r="G39" s="19" t="s">
        <v>397</v>
      </c>
      <c r="H39" s="19">
        <v>4</v>
      </c>
      <c r="I39" s="19" t="s">
        <v>2724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2764</v>
      </c>
      <c r="D40" s="10" t="s">
        <v>516</v>
      </c>
      <c r="E40" s="12" t="s">
        <v>1647</v>
      </c>
      <c r="F40" s="20" t="s">
        <v>675</v>
      </c>
      <c r="G40" s="20" t="s">
        <v>397</v>
      </c>
      <c r="H40" s="20">
        <v>4</v>
      </c>
      <c r="I40" s="20" t="s">
        <v>2724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2765</v>
      </c>
      <c r="D41" s="10" t="s">
        <v>177</v>
      </c>
      <c r="E41" s="12" t="s">
        <v>67</v>
      </c>
      <c r="F41" s="20" t="s">
        <v>687</v>
      </c>
      <c r="G41" s="20" t="s">
        <v>397</v>
      </c>
      <c r="H41" s="20">
        <v>4</v>
      </c>
      <c r="I41" s="20" t="s">
        <v>2724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6" si="1">+IF(OR($J41=0,$K41=0,$L41=0,$M41=0),"Không đủ ĐKDT","")</f>
        <v/>
      </c>
    </row>
    <row r="42" spans="2:14" ht="16.5" customHeight="1">
      <c r="B42" s="15">
        <v>33</v>
      </c>
      <c r="C42" s="22" t="s">
        <v>2766</v>
      </c>
      <c r="D42" s="10" t="s">
        <v>1686</v>
      </c>
      <c r="E42" s="12" t="s">
        <v>67</v>
      </c>
      <c r="F42" s="20" t="s">
        <v>2456</v>
      </c>
      <c r="G42" s="20" t="s">
        <v>397</v>
      </c>
      <c r="H42" s="20">
        <v>4</v>
      </c>
      <c r="I42" s="20" t="s">
        <v>2724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2767</v>
      </c>
      <c r="D43" s="10" t="s">
        <v>133</v>
      </c>
      <c r="E43" s="12" t="s">
        <v>69</v>
      </c>
      <c r="F43" s="20" t="s">
        <v>683</v>
      </c>
      <c r="G43" s="20" t="s">
        <v>397</v>
      </c>
      <c r="H43" s="20">
        <v>4</v>
      </c>
      <c r="I43" s="20" t="s">
        <v>2724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2768</v>
      </c>
      <c r="D44" s="10" t="s">
        <v>967</v>
      </c>
      <c r="E44" s="12" t="s">
        <v>2769</v>
      </c>
      <c r="F44" s="20" t="s">
        <v>701</v>
      </c>
      <c r="G44" s="20" t="s">
        <v>397</v>
      </c>
      <c r="H44" s="20">
        <v>4</v>
      </c>
      <c r="I44" s="20" t="s">
        <v>2724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2770</v>
      </c>
      <c r="D45" s="10" t="s">
        <v>1481</v>
      </c>
      <c r="E45" s="12" t="s">
        <v>142</v>
      </c>
      <c r="F45" s="20" t="s">
        <v>720</v>
      </c>
      <c r="G45" s="20" t="s">
        <v>397</v>
      </c>
      <c r="H45" s="20">
        <v>4</v>
      </c>
      <c r="I45" s="20" t="s">
        <v>2724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2771</v>
      </c>
      <c r="D46" s="10" t="s">
        <v>90</v>
      </c>
      <c r="E46" s="12" t="s">
        <v>313</v>
      </c>
      <c r="F46" s="20" t="s">
        <v>420</v>
      </c>
      <c r="G46" s="20" t="s">
        <v>397</v>
      </c>
      <c r="H46" s="20">
        <v>4</v>
      </c>
      <c r="I46" s="20" t="s">
        <v>2724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2772</v>
      </c>
      <c r="D47" s="10" t="s">
        <v>2773</v>
      </c>
      <c r="E47" s="12" t="s">
        <v>143</v>
      </c>
      <c r="F47" s="20" t="s">
        <v>756</v>
      </c>
      <c r="G47" s="20" t="s">
        <v>397</v>
      </c>
      <c r="H47" s="20">
        <v>4</v>
      </c>
      <c r="I47" s="20" t="s">
        <v>2724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2774</v>
      </c>
      <c r="D48" s="10" t="s">
        <v>137</v>
      </c>
      <c r="E48" s="12" t="s">
        <v>2547</v>
      </c>
      <c r="F48" s="20" t="s">
        <v>692</v>
      </c>
      <c r="G48" s="20" t="s">
        <v>397</v>
      </c>
      <c r="H48" s="20">
        <v>4</v>
      </c>
      <c r="I48" s="20" t="s">
        <v>2724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2775</v>
      </c>
      <c r="D49" s="10" t="s">
        <v>279</v>
      </c>
      <c r="E49" s="12" t="s">
        <v>71</v>
      </c>
      <c r="F49" s="20" t="s">
        <v>690</v>
      </c>
      <c r="G49" s="20" t="s">
        <v>397</v>
      </c>
      <c r="H49" s="20">
        <v>4</v>
      </c>
      <c r="I49" s="20" t="s">
        <v>2724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2776</v>
      </c>
      <c r="D50" s="10" t="s">
        <v>2777</v>
      </c>
      <c r="E50" s="12" t="s">
        <v>72</v>
      </c>
      <c r="F50" s="20" t="s">
        <v>694</v>
      </c>
      <c r="G50" s="20" t="s">
        <v>397</v>
      </c>
      <c r="H50" s="20">
        <v>4</v>
      </c>
      <c r="I50" s="20" t="s">
        <v>2724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2778</v>
      </c>
      <c r="D51" s="10" t="s">
        <v>2779</v>
      </c>
      <c r="E51" s="12" t="s">
        <v>73</v>
      </c>
      <c r="F51" s="20" t="s">
        <v>692</v>
      </c>
      <c r="G51" s="20" t="s">
        <v>397</v>
      </c>
      <c r="H51" s="20">
        <v>4</v>
      </c>
      <c r="I51" s="20" t="s">
        <v>2724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2780</v>
      </c>
      <c r="D52" s="10" t="s">
        <v>94</v>
      </c>
      <c r="E52" s="12" t="s">
        <v>75</v>
      </c>
      <c r="F52" s="20" t="s">
        <v>701</v>
      </c>
      <c r="G52" s="20" t="s">
        <v>397</v>
      </c>
      <c r="H52" s="20">
        <v>4</v>
      </c>
      <c r="I52" s="20" t="s">
        <v>2724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2781</v>
      </c>
      <c r="D53" s="10" t="s">
        <v>237</v>
      </c>
      <c r="E53" s="12" t="s">
        <v>75</v>
      </c>
      <c r="F53" s="20" t="s">
        <v>694</v>
      </c>
      <c r="G53" s="20" t="s">
        <v>397</v>
      </c>
      <c r="H53" s="20">
        <v>4</v>
      </c>
      <c r="I53" s="20" t="s">
        <v>2724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2782</v>
      </c>
      <c r="D54" s="10" t="s">
        <v>292</v>
      </c>
      <c r="E54" s="12" t="s">
        <v>77</v>
      </c>
      <c r="F54" s="20" t="s">
        <v>675</v>
      </c>
      <c r="G54" s="20" t="s">
        <v>397</v>
      </c>
      <c r="H54" s="20">
        <v>4</v>
      </c>
      <c r="I54" s="20" t="s">
        <v>2724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2783</v>
      </c>
      <c r="D55" s="10" t="s">
        <v>2784</v>
      </c>
      <c r="E55" s="12" t="s">
        <v>2785</v>
      </c>
      <c r="F55" s="20" t="s">
        <v>701</v>
      </c>
      <c r="G55" s="20" t="s">
        <v>397</v>
      </c>
      <c r="H55" s="20">
        <v>4</v>
      </c>
      <c r="I55" s="20" t="s">
        <v>2724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2786</v>
      </c>
      <c r="D56" s="10" t="s">
        <v>2787</v>
      </c>
      <c r="E56" s="12" t="s">
        <v>81</v>
      </c>
      <c r="F56" s="20" t="s">
        <v>396</v>
      </c>
      <c r="G56" s="20" t="s">
        <v>397</v>
      </c>
      <c r="H56" s="20">
        <v>4</v>
      </c>
      <c r="I56" s="20" t="s">
        <v>2724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2788</v>
      </c>
      <c r="D57" s="10" t="s">
        <v>1548</v>
      </c>
      <c r="E57" s="12" t="s">
        <v>260</v>
      </c>
      <c r="F57" s="20" t="s">
        <v>420</v>
      </c>
      <c r="G57" s="20" t="s">
        <v>397</v>
      </c>
      <c r="H57" s="20">
        <v>4</v>
      </c>
      <c r="I57" s="20" t="s">
        <v>2724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2789</v>
      </c>
      <c r="D58" s="10" t="s">
        <v>76</v>
      </c>
      <c r="E58" s="12" t="s">
        <v>195</v>
      </c>
      <c r="F58" s="20" t="s">
        <v>117</v>
      </c>
      <c r="G58" s="20" t="s">
        <v>397</v>
      </c>
      <c r="H58" s="20">
        <v>4</v>
      </c>
      <c r="I58" s="20" t="s">
        <v>2724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2790</v>
      </c>
      <c r="D59" s="10" t="s">
        <v>76</v>
      </c>
      <c r="E59" s="12" t="s">
        <v>889</v>
      </c>
      <c r="F59" s="20" t="s">
        <v>2791</v>
      </c>
      <c r="G59" s="20" t="s">
        <v>397</v>
      </c>
      <c r="H59" s="20">
        <v>4</v>
      </c>
      <c r="I59" s="20" t="s">
        <v>2724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2792</v>
      </c>
      <c r="D60" s="10" t="s">
        <v>199</v>
      </c>
      <c r="E60" s="12" t="s">
        <v>87</v>
      </c>
      <c r="F60" s="20" t="s">
        <v>396</v>
      </c>
      <c r="G60" s="20" t="s">
        <v>397</v>
      </c>
      <c r="H60" s="20">
        <v>4</v>
      </c>
      <c r="I60" s="20" t="s">
        <v>2724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2793</v>
      </c>
      <c r="D61" s="10" t="s">
        <v>2794</v>
      </c>
      <c r="E61" s="12" t="s">
        <v>91</v>
      </c>
      <c r="F61" s="20" t="s">
        <v>396</v>
      </c>
      <c r="G61" s="20" t="s">
        <v>397</v>
      </c>
      <c r="H61" s="20">
        <v>4</v>
      </c>
      <c r="I61" s="20" t="s">
        <v>2724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2795</v>
      </c>
      <c r="D62" s="10" t="s">
        <v>119</v>
      </c>
      <c r="E62" s="12" t="s">
        <v>91</v>
      </c>
      <c r="F62" s="20" t="s">
        <v>756</v>
      </c>
      <c r="G62" s="20" t="s">
        <v>397</v>
      </c>
      <c r="H62" s="20">
        <v>4</v>
      </c>
      <c r="I62" s="20" t="s">
        <v>2724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2796</v>
      </c>
      <c r="D63" s="10" t="s">
        <v>368</v>
      </c>
      <c r="E63" s="12" t="s">
        <v>91</v>
      </c>
      <c r="F63" s="20" t="s">
        <v>2797</v>
      </c>
      <c r="G63" s="20" t="s">
        <v>397</v>
      </c>
      <c r="H63" s="20">
        <v>4</v>
      </c>
      <c r="I63" s="20" t="s">
        <v>2724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2798</v>
      </c>
      <c r="D64" s="10" t="s">
        <v>434</v>
      </c>
      <c r="E64" s="12" t="s">
        <v>93</v>
      </c>
      <c r="F64" s="20" t="s">
        <v>117</v>
      </c>
      <c r="G64" s="20" t="s">
        <v>397</v>
      </c>
      <c r="H64" s="20">
        <v>4</v>
      </c>
      <c r="I64" s="20" t="s">
        <v>2724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2799</v>
      </c>
      <c r="D65" s="10" t="s">
        <v>32</v>
      </c>
      <c r="E65" s="12" t="s">
        <v>93</v>
      </c>
      <c r="F65" s="20" t="s">
        <v>450</v>
      </c>
      <c r="G65" s="20" t="s">
        <v>397</v>
      </c>
      <c r="H65" s="20">
        <v>4</v>
      </c>
      <c r="I65" s="20" t="s">
        <v>2724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2800</v>
      </c>
      <c r="D66" s="10" t="s">
        <v>157</v>
      </c>
      <c r="E66" s="12" t="s">
        <v>93</v>
      </c>
      <c r="F66" s="20" t="s">
        <v>396</v>
      </c>
      <c r="G66" s="20" t="s">
        <v>397</v>
      </c>
      <c r="H66" s="20">
        <v>4</v>
      </c>
      <c r="I66" s="20" t="s">
        <v>2724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1" t="s">
        <v>2801</v>
      </c>
      <c r="D67" s="9" t="s">
        <v>293</v>
      </c>
      <c r="E67" s="11" t="s">
        <v>93</v>
      </c>
      <c r="F67" s="19" t="s">
        <v>694</v>
      </c>
      <c r="G67" s="19" t="s">
        <v>397</v>
      </c>
      <c r="H67" s="19">
        <v>4</v>
      </c>
      <c r="I67" s="19" t="s">
        <v>2724</v>
      </c>
      <c r="J67" s="17" t="s">
        <v>13</v>
      </c>
      <c r="K67" s="17" t="s">
        <v>13</v>
      </c>
      <c r="L67" s="17" t="s">
        <v>13</v>
      </c>
      <c r="M67" s="17" t="s">
        <v>13</v>
      </c>
      <c r="N67" s="14" t="str">
        <f>+IF(OR($J67=0,$K67=0,$L67=0,$M67=0),"Không đủ ĐKDT","")</f>
        <v/>
      </c>
    </row>
    <row r="68" spans="2:14" ht="16.5" customHeight="1">
      <c r="B68" s="15">
        <v>59</v>
      </c>
      <c r="C68" s="22" t="s">
        <v>2802</v>
      </c>
      <c r="D68" s="10" t="s">
        <v>282</v>
      </c>
      <c r="E68" s="12" t="s">
        <v>97</v>
      </c>
      <c r="F68" s="20" t="s">
        <v>690</v>
      </c>
      <c r="G68" s="20" t="s">
        <v>397</v>
      </c>
      <c r="H68" s="20">
        <v>4</v>
      </c>
      <c r="I68" s="20" t="s">
        <v>2724</v>
      </c>
      <c r="J68" s="18" t="s">
        <v>13</v>
      </c>
      <c r="K68" s="18" t="s">
        <v>13</v>
      </c>
      <c r="L68" s="18" t="s">
        <v>13</v>
      </c>
      <c r="M68" s="18" t="s">
        <v>13</v>
      </c>
      <c r="N68" s="16" t="str">
        <f>+IF(OR($J68=0,$K68=0,$L68=0,$M68=0),"Không đủ ĐKDT","")</f>
        <v/>
      </c>
    </row>
    <row r="69" spans="2:14" ht="16.5" customHeight="1">
      <c r="B69" s="15">
        <v>60</v>
      </c>
      <c r="C69" s="22" t="s">
        <v>2803</v>
      </c>
      <c r="D69" s="10" t="s">
        <v>367</v>
      </c>
      <c r="E69" s="12" t="s">
        <v>97</v>
      </c>
      <c r="F69" s="20" t="s">
        <v>692</v>
      </c>
      <c r="G69" s="20" t="s">
        <v>397</v>
      </c>
      <c r="H69" s="20">
        <v>4</v>
      </c>
      <c r="I69" s="20" t="s">
        <v>2724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 t="shared" ref="N69:N94" si="2">+IF(OR($J69=0,$K69=0,$L69=0,$M69=0),"Không đủ ĐKDT","")</f>
        <v/>
      </c>
    </row>
    <row r="70" spans="2:14" ht="16.5" customHeight="1">
      <c r="B70" s="15">
        <v>61</v>
      </c>
      <c r="C70" s="22" t="s">
        <v>2804</v>
      </c>
      <c r="D70" s="10" t="s">
        <v>199</v>
      </c>
      <c r="E70" s="12" t="s">
        <v>97</v>
      </c>
      <c r="F70" s="20" t="s">
        <v>396</v>
      </c>
      <c r="G70" s="20" t="s">
        <v>397</v>
      </c>
      <c r="H70" s="20">
        <v>4</v>
      </c>
      <c r="I70" s="20" t="s">
        <v>2724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si="2"/>
        <v/>
      </c>
    </row>
    <row r="71" spans="2:14" ht="16.5" customHeight="1">
      <c r="B71" s="15">
        <v>62</v>
      </c>
      <c r="C71" s="22" t="s">
        <v>2805</v>
      </c>
      <c r="D71" s="10" t="s">
        <v>930</v>
      </c>
      <c r="E71" s="12" t="s">
        <v>153</v>
      </c>
      <c r="F71" s="20" t="s">
        <v>396</v>
      </c>
      <c r="G71" s="20" t="s">
        <v>397</v>
      </c>
      <c r="H71" s="20">
        <v>4</v>
      </c>
      <c r="I71" s="20" t="s">
        <v>2724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2806</v>
      </c>
      <c r="D72" s="10" t="s">
        <v>1019</v>
      </c>
      <c r="E72" s="12" t="s">
        <v>101</v>
      </c>
      <c r="F72" s="20" t="s">
        <v>756</v>
      </c>
      <c r="G72" s="20" t="s">
        <v>397</v>
      </c>
      <c r="H72" s="20">
        <v>4</v>
      </c>
      <c r="I72" s="20" t="s">
        <v>2724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2807</v>
      </c>
      <c r="D73" s="10" t="s">
        <v>94</v>
      </c>
      <c r="E73" s="12" t="s">
        <v>101</v>
      </c>
      <c r="F73" s="20" t="s">
        <v>692</v>
      </c>
      <c r="G73" s="20" t="s">
        <v>397</v>
      </c>
      <c r="H73" s="20">
        <v>4</v>
      </c>
      <c r="I73" s="20" t="s">
        <v>2724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2808</v>
      </c>
      <c r="D74" s="10" t="s">
        <v>2809</v>
      </c>
      <c r="E74" s="12" t="s">
        <v>101</v>
      </c>
      <c r="F74" s="20" t="s">
        <v>720</v>
      </c>
      <c r="G74" s="20" t="s">
        <v>397</v>
      </c>
      <c r="H74" s="20">
        <v>4</v>
      </c>
      <c r="I74" s="20" t="s">
        <v>2724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2810</v>
      </c>
      <c r="D75" s="10" t="s">
        <v>76</v>
      </c>
      <c r="E75" s="12" t="s">
        <v>101</v>
      </c>
      <c r="F75" s="20" t="s">
        <v>444</v>
      </c>
      <c r="G75" s="20" t="s">
        <v>397</v>
      </c>
      <c r="H75" s="20">
        <v>4</v>
      </c>
      <c r="I75" s="20" t="s">
        <v>2724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2811</v>
      </c>
      <c r="D76" s="10" t="s">
        <v>294</v>
      </c>
      <c r="E76" s="12" t="s">
        <v>156</v>
      </c>
      <c r="F76" s="20" t="s">
        <v>756</v>
      </c>
      <c r="G76" s="20" t="s">
        <v>397</v>
      </c>
      <c r="H76" s="20">
        <v>4</v>
      </c>
      <c r="I76" s="20" t="s">
        <v>2724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2812</v>
      </c>
      <c r="D77" s="10" t="s">
        <v>2813</v>
      </c>
      <c r="E77" s="12" t="s">
        <v>156</v>
      </c>
      <c r="F77" s="20" t="s">
        <v>450</v>
      </c>
      <c r="G77" s="20" t="s">
        <v>397</v>
      </c>
      <c r="H77" s="20">
        <v>4</v>
      </c>
      <c r="I77" s="20" t="s">
        <v>2724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2814</v>
      </c>
      <c r="D78" s="10" t="s">
        <v>463</v>
      </c>
      <c r="E78" s="12" t="s">
        <v>156</v>
      </c>
      <c r="F78" s="20" t="s">
        <v>720</v>
      </c>
      <c r="G78" s="20" t="s">
        <v>397</v>
      </c>
      <c r="H78" s="20">
        <v>4</v>
      </c>
      <c r="I78" s="20" t="s">
        <v>2724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2815</v>
      </c>
      <c r="D79" s="10" t="s">
        <v>70</v>
      </c>
      <c r="E79" s="12" t="s">
        <v>295</v>
      </c>
      <c r="F79" s="20" t="s">
        <v>690</v>
      </c>
      <c r="G79" s="20" t="s">
        <v>397</v>
      </c>
      <c r="H79" s="20">
        <v>4</v>
      </c>
      <c r="I79" s="20" t="s">
        <v>2724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2816</v>
      </c>
      <c r="D80" s="10" t="s">
        <v>154</v>
      </c>
      <c r="E80" s="12" t="s">
        <v>158</v>
      </c>
      <c r="F80" s="20" t="s">
        <v>692</v>
      </c>
      <c r="G80" s="20" t="s">
        <v>397</v>
      </c>
      <c r="H80" s="20">
        <v>4</v>
      </c>
      <c r="I80" s="20" t="s">
        <v>2724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2817</v>
      </c>
      <c r="D81" s="10" t="s">
        <v>157</v>
      </c>
      <c r="E81" s="12" t="s">
        <v>158</v>
      </c>
      <c r="F81" s="20" t="s">
        <v>687</v>
      </c>
      <c r="G81" s="20" t="s">
        <v>397</v>
      </c>
      <c r="H81" s="20">
        <v>4</v>
      </c>
      <c r="I81" s="20" t="s">
        <v>2724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2818</v>
      </c>
      <c r="D82" s="10" t="s">
        <v>1301</v>
      </c>
      <c r="E82" s="12" t="s">
        <v>158</v>
      </c>
      <c r="F82" s="20" t="s">
        <v>756</v>
      </c>
      <c r="G82" s="20" t="s">
        <v>397</v>
      </c>
      <c r="H82" s="20">
        <v>4</v>
      </c>
      <c r="I82" s="20" t="s">
        <v>2724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2819</v>
      </c>
      <c r="D83" s="10" t="s">
        <v>2820</v>
      </c>
      <c r="E83" s="12" t="s">
        <v>158</v>
      </c>
      <c r="F83" s="20" t="s">
        <v>694</v>
      </c>
      <c r="G83" s="20" t="s">
        <v>397</v>
      </c>
      <c r="H83" s="20">
        <v>4</v>
      </c>
      <c r="I83" s="20" t="s">
        <v>2724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2821</v>
      </c>
      <c r="D84" s="10" t="s">
        <v>780</v>
      </c>
      <c r="E84" s="12" t="s">
        <v>1053</v>
      </c>
      <c r="F84" s="20" t="s">
        <v>450</v>
      </c>
      <c r="G84" s="20" t="s">
        <v>397</v>
      </c>
      <c r="H84" s="20">
        <v>4</v>
      </c>
      <c r="I84" s="20" t="s">
        <v>2724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2822</v>
      </c>
      <c r="D85" s="10" t="s">
        <v>239</v>
      </c>
      <c r="E85" s="12" t="s">
        <v>284</v>
      </c>
      <c r="F85" s="20" t="s">
        <v>687</v>
      </c>
      <c r="G85" s="20" t="s">
        <v>397</v>
      </c>
      <c r="H85" s="20">
        <v>4</v>
      </c>
      <c r="I85" s="20" t="s">
        <v>2724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2823</v>
      </c>
      <c r="D86" s="10" t="s">
        <v>32</v>
      </c>
      <c r="E86" s="12" t="s">
        <v>162</v>
      </c>
      <c r="F86" s="20" t="s">
        <v>117</v>
      </c>
      <c r="G86" s="20" t="s">
        <v>397</v>
      </c>
      <c r="H86" s="20">
        <v>4</v>
      </c>
      <c r="I86" s="20" t="s">
        <v>2724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2824</v>
      </c>
      <c r="D87" s="10" t="s">
        <v>76</v>
      </c>
      <c r="E87" s="12" t="s">
        <v>162</v>
      </c>
      <c r="F87" s="20" t="s">
        <v>420</v>
      </c>
      <c r="G87" s="20" t="s">
        <v>397</v>
      </c>
      <c r="H87" s="20">
        <v>4</v>
      </c>
      <c r="I87" s="20" t="s">
        <v>2724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2825</v>
      </c>
      <c r="D88" s="10" t="s">
        <v>32</v>
      </c>
      <c r="E88" s="12" t="s">
        <v>120</v>
      </c>
      <c r="F88" s="20" t="s">
        <v>450</v>
      </c>
      <c r="G88" s="20" t="s">
        <v>397</v>
      </c>
      <c r="H88" s="20">
        <v>4</v>
      </c>
      <c r="I88" s="20" t="s">
        <v>2724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2826</v>
      </c>
      <c r="D89" s="10" t="s">
        <v>2827</v>
      </c>
      <c r="E89" s="12" t="s">
        <v>166</v>
      </c>
      <c r="F89" s="20" t="s">
        <v>683</v>
      </c>
      <c r="G89" s="20" t="s">
        <v>397</v>
      </c>
      <c r="H89" s="20">
        <v>4</v>
      </c>
      <c r="I89" s="20" t="s">
        <v>2724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2828</v>
      </c>
      <c r="D90" s="10" t="s">
        <v>66</v>
      </c>
      <c r="E90" s="12" t="s">
        <v>128</v>
      </c>
      <c r="F90" s="20" t="s">
        <v>690</v>
      </c>
      <c r="G90" s="20" t="s">
        <v>397</v>
      </c>
      <c r="H90" s="20">
        <v>4</v>
      </c>
      <c r="I90" s="20" t="s">
        <v>2724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2829</v>
      </c>
      <c r="D91" s="10" t="s">
        <v>177</v>
      </c>
      <c r="E91" s="12" t="s">
        <v>128</v>
      </c>
      <c r="F91" s="20" t="s">
        <v>683</v>
      </c>
      <c r="G91" s="20" t="s">
        <v>397</v>
      </c>
      <c r="H91" s="20">
        <v>4</v>
      </c>
      <c r="I91" s="20" t="s">
        <v>2724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2830</v>
      </c>
      <c r="D92" s="10" t="s">
        <v>808</v>
      </c>
      <c r="E92" s="12" t="s">
        <v>203</v>
      </c>
      <c r="F92" s="20" t="s">
        <v>687</v>
      </c>
      <c r="G92" s="20" t="s">
        <v>397</v>
      </c>
      <c r="H92" s="20">
        <v>4</v>
      </c>
      <c r="I92" s="20" t="s">
        <v>2724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2831</v>
      </c>
      <c r="D93" s="10" t="s">
        <v>78</v>
      </c>
      <c r="E93" s="12" t="s">
        <v>171</v>
      </c>
      <c r="F93" s="20" t="s">
        <v>675</v>
      </c>
      <c r="G93" s="20" t="s">
        <v>397</v>
      </c>
      <c r="H93" s="20">
        <v>4</v>
      </c>
      <c r="I93" s="20" t="s">
        <v>2724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2832</v>
      </c>
      <c r="D94" s="10" t="s">
        <v>184</v>
      </c>
      <c r="E94" s="12" t="s">
        <v>324</v>
      </c>
      <c r="F94" s="20" t="s">
        <v>694</v>
      </c>
      <c r="G94" s="20" t="s">
        <v>397</v>
      </c>
      <c r="H94" s="20">
        <v>4</v>
      </c>
      <c r="I94" s="20" t="s">
        <v>2724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9.5" customHeight="1">
      <c r="B95" s="64" t="s">
        <v>20</v>
      </c>
      <c r="C95" s="64"/>
      <c r="D95" s="64"/>
      <c r="E95" s="64"/>
    </row>
    <row r="96" spans="2:14" ht="19.5" customHeight="1">
      <c r="B96" s="55" t="str">
        <f>"Điểm chuyên cần: " &amp; $J$9 &amp; "% "</f>
        <v xml:space="preserve">Điểm chuyên cần: % </v>
      </c>
      <c r="C96" s="55"/>
      <c r="D96" s="55"/>
      <c r="E96" s="55"/>
    </row>
    <row r="97" spans="2:14" ht="19.5" customHeight="1">
      <c r="B97" s="55" t="str">
        <f>"Điểm trung bình kiểm tra: "&amp;$K$9&amp;"%"</f>
        <v>Điểm trung bình kiểm tra: %</v>
      </c>
      <c r="C97" s="55"/>
      <c r="D97" s="55"/>
      <c r="E97" s="55"/>
    </row>
    <row r="98" spans="2:14" ht="19.5" customHeight="1">
      <c r="B98" s="55" t="str">
        <f>"Điểm thí nghiệm, thực hành: "&amp;$L$9&amp;"%"</f>
        <v>Điểm thí nghiệm, thực hành: %</v>
      </c>
      <c r="C98" s="55"/>
      <c r="D98" s="55"/>
      <c r="E98" s="55"/>
    </row>
    <row r="99" spans="2:14" ht="19.5" customHeight="1">
      <c r="B99" s="55" t="str">
        <f>"Điểm bài tập tiểu luận, seminar: "&amp;$M$9&amp;"%"</f>
        <v>Điểm bài tập tiểu luận, seminar: %</v>
      </c>
      <c r="C99" s="55"/>
      <c r="D99" s="55"/>
      <c r="E99" s="55"/>
    </row>
    <row r="100" spans="2:14">
      <c r="J100" s="56" t="s">
        <v>21</v>
      </c>
      <c r="K100" s="56"/>
      <c r="L100" s="56"/>
      <c r="M100" s="56"/>
      <c r="N100" s="56"/>
    </row>
    <row r="101" spans="2:14" ht="32.25" customHeight="1">
      <c r="B101" s="57" t="s">
        <v>17</v>
      </c>
      <c r="C101" s="57"/>
      <c r="D101" s="57"/>
      <c r="E101" s="57"/>
      <c r="F101" s="32"/>
      <c r="G101" s="32"/>
      <c r="H101" s="32"/>
      <c r="I101" s="32"/>
      <c r="J101" s="57" t="s">
        <v>18</v>
      </c>
      <c r="K101" s="57"/>
      <c r="L101" s="57"/>
      <c r="M101" s="57"/>
      <c r="N101" s="57"/>
    </row>
    <row r="107" spans="2:14">
      <c r="J107" s="58"/>
      <c r="K107" s="58"/>
      <c r="L107" s="58"/>
      <c r="M107" s="58"/>
      <c r="N107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8:E98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5:E95"/>
    <mergeCell ref="B96:E96"/>
    <mergeCell ref="B97:E97"/>
    <mergeCell ref="L7:L8"/>
    <mergeCell ref="M7:M8"/>
    <mergeCell ref="B99:E99"/>
    <mergeCell ref="J100:N100"/>
    <mergeCell ref="B101:E101"/>
    <mergeCell ref="J101:N101"/>
    <mergeCell ref="J107:N107"/>
  </mergeCells>
  <conditionalFormatting sqref="J10:M10">
    <cfRule type="cellIs" dxfId="997" priority="55" stopIfTrue="1" operator="greaterThan">
      <formula>10</formula>
    </cfRule>
    <cfRule type="cellIs" dxfId="996" priority="56" stopIfTrue="1" operator="greaterThan">
      <formula>10</formula>
    </cfRule>
    <cfRule type="cellIs" dxfId="995" priority="57" stopIfTrue="1" operator="greaterThan">
      <formula>10</formula>
    </cfRule>
    <cfRule type="cellIs" dxfId="994" priority="58" stopIfTrue="1" operator="greaterThan">
      <formula>10</formula>
    </cfRule>
  </conditionalFormatting>
  <conditionalFormatting sqref="J11:M13">
    <cfRule type="cellIs" dxfId="993" priority="51" stopIfTrue="1" operator="greaterThan">
      <formula>10</formula>
    </cfRule>
    <cfRule type="cellIs" dxfId="992" priority="52" stopIfTrue="1" operator="greaterThan">
      <formula>10</formula>
    </cfRule>
    <cfRule type="cellIs" dxfId="991" priority="53" stopIfTrue="1" operator="greaterThan">
      <formula>10</formula>
    </cfRule>
    <cfRule type="cellIs" dxfId="990" priority="54" stopIfTrue="1" operator="greaterThan">
      <formula>10</formula>
    </cfRule>
  </conditionalFormatting>
  <conditionalFormatting sqref="J14:M38">
    <cfRule type="cellIs" dxfId="989" priority="47" stopIfTrue="1" operator="greaterThan">
      <formula>10</formula>
    </cfRule>
    <cfRule type="cellIs" dxfId="988" priority="48" stopIfTrue="1" operator="greaterThan">
      <formula>10</formula>
    </cfRule>
    <cfRule type="cellIs" dxfId="987" priority="49" stopIfTrue="1" operator="greaterThan">
      <formula>10</formula>
    </cfRule>
    <cfRule type="cellIs" dxfId="986" priority="50" stopIfTrue="1" operator="greaterThan">
      <formula>10</formula>
    </cfRule>
  </conditionalFormatting>
  <conditionalFormatting sqref="C10:C38">
    <cfRule type="duplicateValues" dxfId="985" priority="59" stopIfTrue="1"/>
    <cfRule type="duplicateValues" dxfId="984" priority="60" stopIfTrue="1"/>
  </conditionalFormatting>
  <conditionalFormatting sqref="J39:M39">
    <cfRule type="cellIs" dxfId="983" priority="41" stopIfTrue="1" operator="greaterThan">
      <formula>10</formula>
    </cfRule>
    <cfRule type="cellIs" dxfId="982" priority="42" stopIfTrue="1" operator="greaterThan">
      <formula>10</formula>
    </cfRule>
    <cfRule type="cellIs" dxfId="981" priority="43" stopIfTrue="1" operator="greaterThan">
      <formula>10</formula>
    </cfRule>
    <cfRule type="cellIs" dxfId="980" priority="44" stopIfTrue="1" operator="greaterThan">
      <formula>10</formula>
    </cfRule>
  </conditionalFormatting>
  <conditionalFormatting sqref="J40:M42">
    <cfRule type="cellIs" dxfId="979" priority="37" stopIfTrue="1" operator="greaterThan">
      <formula>10</formula>
    </cfRule>
    <cfRule type="cellIs" dxfId="978" priority="38" stopIfTrue="1" operator="greaterThan">
      <formula>10</formula>
    </cfRule>
    <cfRule type="cellIs" dxfId="977" priority="39" stopIfTrue="1" operator="greaterThan">
      <formula>10</formula>
    </cfRule>
    <cfRule type="cellIs" dxfId="976" priority="40" stopIfTrue="1" operator="greaterThan">
      <formula>10</formula>
    </cfRule>
  </conditionalFormatting>
  <conditionalFormatting sqref="J43:M60 J65:M66">
    <cfRule type="cellIs" dxfId="975" priority="33" stopIfTrue="1" operator="greaterThan">
      <formula>10</formula>
    </cfRule>
    <cfRule type="cellIs" dxfId="974" priority="34" stopIfTrue="1" operator="greaterThan">
      <formula>10</formula>
    </cfRule>
    <cfRule type="cellIs" dxfId="973" priority="35" stopIfTrue="1" operator="greaterThan">
      <formula>10</formula>
    </cfRule>
    <cfRule type="cellIs" dxfId="972" priority="36" stopIfTrue="1" operator="greaterThan">
      <formula>10</formula>
    </cfRule>
  </conditionalFormatting>
  <conditionalFormatting sqref="J61:M62">
    <cfRule type="cellIs" dxfId="971" priority="27" stopIfTrue="1" operator="greaterThan">
      <formula>10</formula>
    </cfRule>
    <cfRule type="cellIs" dxfId="970" priority="28" stopIfTrue="1" operator="greaterThan">
      <formula>10</formula>
    </cfRule>
    <cfRule type="cellIs" dxfId="969" priority="29" stopIfTrue="1" operator="greaterThan">
      <formula>10</formula>
    </cfRule>
    <cfRule type="cellIs" dxfId="968" priority="30" stopIfTrue="1" operator="greaterThan">
      <formula>10</formula>
    </cfRule>
  </conditionalFormatting>
  <conditionalFormatting sqref="C61:C62">
    <cfRule type="duplicateValues" dxfId="967" priority="31" stopIfTrue="1"/>
    <cfRule type="duplicateValues" dxfId="966" priority="32" stopIfTrue="1"/>
  </conditionalFormatting>
  <conditionalFormatting sqref="J63:M64">
    <cfRule type="cellIs" dxfId="965" priority="21" stopIfTrue="1" operator="greaterThan">
      <formula>10</formula>
    </cfRule>
    <cfRule type="cellIs" dxfId="964" priority="22" stopIfTrue="1" operator="greaterThan">
      <formula>10</formula>
    </cfRule>
    <cfRule type="cellIs" dxfId="963" priority="23" stopIfTrue="1" operator="greaterThan">
      <formula>10</formula>
    </cfRule>
    <cfRule type="cellIs" dxfId="962" priority="24" stopIfTrue="1" operator="greaterThan">
      <formula>10</formula>
    </cfRule>
  </conditionalFormatting>
  <conditionalFormatting sqref="C63:C64">
    <cfRule type="duplicateValues" dxfId="961" priority="25" stopIfTrue="1"/>
    <cfRule type="duplicateValues" dxfId="960" priority="26" stopIfTrue="1"/>
  </conditionalFormatting>
  <conditionalFormatting sqref="C39:C60 C65:C66">
    <cfRule type="duplicateValues" dxfId="959" priority="45" stopIfTrue="1"/>
    <cfRule type="duplicateValues" dxfId="958" priority="46" stopIfTrue="1"/>
  </conditionalFormatting>
  <conditionalFormatting sqref="J67:M67">
    <cfRule type="cellIs" dxfId="957" priority="15" stopIfTrue="1" operator="greaterThan">
      <formula>10</formula>
    </cfRule>
    <cfRule type="cellIs" dxfId="956" priority="16" stopIfTrue="1" operator="greaterThan">
      <formula>10</formula>
    </cfRule>
    <cfRule type="cellIs" dxfId="955" priority="17" stopIfTrue="1" operator="greaterThan">
      <formula>10</formula>
    </cfRule>
    <cfRule type="cellIs" dxfId="954" priority="18" stopIfTrue="1" operator="greaterThan">
      <formula>10</formula>
    </cfRule>
  </conditionalFormatting>
  <conditionalFormatting sqref="J68:M70">
    <cfRule type="cellIs" dxfId="953" priority="11" stopIfTrue="1" operator="greaterThan">
      <formula>10</formula>
    </cfRule>
    <cfRule type="cellIs" dxfId="952" priority="12" stopIfTrue="1" operator="greaterThan">
      <formula>10</formula>
    </cfRule>
    <cfRule type="cellIs" dxfId="951" priority="13" stopIfTrue="1" operator="greaterThan">
      <formula>10</formula>
    </cfRule>
    <cfRule type="cellIs" dxfId="950" priority="14" stopIfTrue="1" operator="greaterThan">
      <formula>10</formula>
    </cfRule>
  </conditionalFormatting>
  <conditionalFormatting sqref="J71:M85 J89:M94">
    <cfRule type="cellIs" dxfId="949" priority="7" stopIfTrue="1" operator="greaterThan">
      <formula>10</formula>
    </cfRule>
    <cfRule type="cellIs" dxfId="948" priority="8" stopIfTrue="1" operator="greaterThan">
      <formula>10</formula>
    </cfRule>
    <cfRule type="cellIs" dxfId="947" priority="9" stopIfTrue="1" operator="greaterThan">
      <formula>10</formula>
    </cfRule>
    <cfRule type="cellIs" dxfId="946" priority="10" stopIfTrue="1" operator="greaterThan">
      <formula>10</formula>
    </cfRule>
  </conditionalFormatting>
  <conditionalFormatting sqref="J86:M88">
    <cfRule type="cellIs" dxfId="945" priority="1" stopIfTrue="1" operator="greaterThan">
      <formula>10</formula>
    </cfRule>
    <cfRule type="cellIs" dxfId="944" priority="2" stopIfTrue="1" operator="greaterThan">
      <formula>10</formula>
    </cfRule>
    <cfRule type="cellIs" dxfId="943" priority="3" stopIfTrue="1" operator="greaterThan">
      <formula>10</formula>
    </cfRule>
    <cfRule type="cellIs" dxfId="942" priority="4" stopIfTrue="1" operator="greaterThan">
      <formula>10</formula>
    </cfRule>
  </conditionalFormatting>
  <conditionalFormatting sqref="C86:C88">
    <cfRule type="duplicateValues" dxfId="941" priority="5" stopIfTrue="1"/>
    <cfRule type="duplicateValues" dxfId="940" priority="6" stopIfTrue="1"/>
  </conditionalFormatting>
  <conditionalFormatting sqref="C67:C85 C89:C94">
    <cfRule type="duplicateValues" dxfId="939" priority="19" stopIfTrue="1"/>
    <cfRule type="duplicateValues" dxfId="938" priority="20" stopIfTrue="1"/>
  </conditionalFormatting>
  <dataValidations count="1">
    <dataValidation type="decimal" allowBlank="1" showInputMessage="1" showErrorMessage="1" error="Sai định dạng" sqref="J10:M94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B1:N104"/>
  <sheetViews>
    <sheetView topLeftCell="A67" workbookViewId="0">
      <selection activeCell="B11" sqref="B11:B91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2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BAS1224_19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33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2604</v>
      </c>
      <c r="D10" s="9" t="s">
        <v>74</v>
      </c>
      <c r="E10" s="11" t="s">
        <v>26</v>
      </c>
      <c r="F10" s="19" t="s">
        <v>1958</v>
      </c>
      <c r="G10" s="19" t="s">
        <v>397</v>
      </c>
      <c r="H10" s="19">
        <v>4</v>
      </c>
      <c r="I10" s="19" t="s">
        <v>2605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2606</v>
      </c>
      <c r="D11" s="10" t="s">
        <v>1709</v>
      </c>
      <c r="E11" s="12" t="s">
        <v>26</v>
      </c>
      <c r="F11" s="20" t="s">
        <v>692</v>
      </c>
      <c r="G11" s="20" t="s">
        <v>397</v>
      </c>
      <c r="H11" s="20">
        <v>4</v>
      </c>
      <c r="I11" s="20" t="s">
        <v>2605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2607</v>
      </c>
      <c r="D12" s="10" t="s">
        <v>55</v>
      </c>
      <c r="E12" s="12" t="s">
        <v>27</v>
      </c>
      <c r="F12" s="20" t="s">
        <v>117</v>
      </c>
      <c r="G12" s="20" t="s">
        <v>397</v>
      </c>
      <c r="H12" s="20">
        <v>4</v>
      </c>
      <c r="I12" s="20" t="s">
        <v>2605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7" si="0">+IF(OR($J12=0,$K12=0,$L12=0,$M12=0),"Không đủ ĐKDT","")</f>
        <v/>
      </c>
    </row>
    <row r="13" spans="2:14" ht="16.5" customHeight="1">
      <c r="B13" s="15">
        <v>4</v>
      </c>
      <c r="C13" s="22" t="s">
        <v>2608</v>
      </c>
      <c r="D13" s="10" t="s">
        <v>187</v>
      </c>
      <c r="E13" s="12" t="s">
        <v>27</v>
      </c>
      <c r="F13" s="20" t="s">
        <v>701</v>
      </c>
      <c r="G13" s="20" t="s">
        <v>397</v>
      </c>
      <c r="H13" s="20">
        <v>4</v>
      </c>
      <c r="I13" s="20" t="s">
        <v>2605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2609</v>
      </c>
      <c r="D14" s="10" t="s">
        <v>63</v>
      </c>
      <c r="E14" s="12" t="s">
        <v>418</v>
      </c>
      <c r="F14" s="20" t="s">
        <v>756</v>
      </c>
      <c r="G14" s="20" t="s">
        <v>397</v>
      </c>
      <c r="H14" s="20">
        <v>4</v>
      </c>
      <c r="I14" s="20" t="s">
        <v>2605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2610</v>
      </c>
      <c r="D15" s="10" t="s">
        <v>1291</v>
      </c>
      <c r="E15" s="12" t="s">
        <v>179</v>
      </c>
      <c r="F15" s="20" t="s">
        <v>675</v>
      </c>
      <c r="G15" s="20" t="s">
        <v>397</v>
      </c>
      <c r="H15" s="20">
        <v>4</v>
      </c>
      <c r="I15" s="20" t="s">
        <v>2605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2611</v>
      </c>
      <c r="D16" s="10" t="s">
        <v>760</v>
      </c>
      <c r="E16" s="12" t="s">
        <v>180</v>
      </c>
      <c r="F16" s="20" t="s">
        <v>117</v>
      </c>
      <c r="G16" s="20" t="s">
        <v>397</v>
      </c>
      <c r="H16" s="20">
        <v>4</v>
      </c>
      <c r="I16" s="20" t="s">
        <v>2605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2612</v>
      </c>
      <c r="D17" s="10" t="s">
        <v>363</v>
      </c>
      <c r="E17" s="12" t="s">
        <v>180</v>
      </c>
      <c r="F17" s="20" t="s">
        <v>692</v>
      </c>
      <c r="G17" s="20" t="s">
        <v>397</v>
      </c>
      <c r="H17" s="20">
        <v>4</v>
      </c>
      <c r="I17" s="20" t="s">
        <v>2605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2613</v>
      </c>
      <c r="D18" s="10" t="s">
        <v>175</v>
      </c>
      <c r="E18" s="12" t="s">
        <v>2614</v>
      </c>
      <c r="F18" s="20" t="s">
        <v>692</v>
      </c>
      <c r="G18" s="20" t="s">
        <v>397</v>
      </c>
      <c r="H18" s="20">
        <v>4</v>
      </c>
      <c r="I18" s="20" t="s">
        <v>2605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2615</v>
      </c>
      <c r="D19" s="10" t="s">
        <v>198</v>
      </c>
      <c r="E19" s="12" t="s">
        <v>36</v>
      </c>
      <c r="F19" s="20" t="s">
        <v>675</v>
      </c>
      <c r="G19" s="20" t="s">
        <v>397</v>
      </c>
      <c r="H19" s="20">
        <v>4</v>
      </c>
      <c r="I19" s="20" t="s">
        <v>2605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2616</v>
      </c>
      <c r="D20" s="10" t="s">
        <v>184</v>
      </c>
      <c r="E20" s="12" t="s">
        <v>36</v>
      </c>
      <c r="F20" s="20" t="s">
        <v>481</v>
      </c>
      <c r="G20" s="20" t="s">
        <v>397</v>
      </c>
      <c r="H20" s="20">
        <v>4</v>
      </c>
      <c r="I20" s="20" t="s">
        <v>2605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2617</v>
      </c>
      <c r="D21" s="10" t="s">
        <v>2175</v>
      </c>
      <c r="E21" s="12" t="s">
        <v>36</v>
      </c>
      <c r="F21" s="20" t="s">
        <v>690</v>
      </c>
      <c r="G21" s="20" t="s">
        <v>397</v>
      </c>
      <c r="H21" s="20">
        <v>4</v>
      </c>
      <c r="I21" s="20" t="s">
        <v>2605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2618</v>
      </c>
      <c r="D22" s="10" t="s">
        <v>2619</v>
      </c>
      <c r="E22" s="12" t="s">
        <v>36</v>
      </c>
      <c r="F22" s="20" t="s">
        <v>43</v>
      </c>
      <c r="G22" s="20" t="s">
        <v>397</v>
      </c>
      <c r="H22" s="20">
        <v>4</v>
      </c>
      <c r="I22" s="20" t="s">
        <v>2605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2620</v>
      </c>
      <c r="D23" s="10" t="s">
        <v>2621</v>
      </c>
      <c r="E23" s="12" t="s">
        <v>135</v>
      </c>
      <c r="F23" s="20" t="s">
        <v>52</v>
      </c>
      <c r="G23" s="20" t="s">
        <v>397</v>
      </c>
      <c r="H23" s="20">
        <v>4</v>
      </c>
      <c r="I23" s="20" t="s">
        <v>2605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2622</v>
      </c>
      <c r="D24" s="10" t="s">
        <v>119</v>
      </c>
      <c r="E24" s="12" t="s">
        <v>135</v>
      </c>
      <c r="F24" s="20" t="s">
        <v>683</v>
      </c>
      <c r="G24" s="20" t="s">
        <v>397</v>
      </c>
      <c r="H24" s="20">
        <v>4</v>
      </c>
      <c r="I24" s="20" t="s">
        <v>2605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2623</v>
      </c>
      <c r="D25" s="10" t="s">
        <v>137</v>
      </c>
      <c r="E25" s="12" t="s">
        <v>39</v>
      </c>
      <c r="F25" s="20" t="s">
        <v>696</v>
      </c>
      <c r="G25" s="20" t="s">
        <v>397</v>
      </c>
      <c r="H25" s="20">
        <v>4</v>
      </c>
      <c r="I25" s="20" t="s">
        <v>2605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2624</v>
      </c>
      <c r="D26" s="10" t="s">
        <v>2625</v>
      </c>
      <c r="E26" s="12" t="s">
        <v>39</v>
      </c>
      <c r="F26" s="20" t="s">
        <v>756</v>
      </c>
      <c r="G26" s="20" t="s">
        <v>397</v>
      </c>
      <c r="H26" s="20">
        <v>4</v>
      </c>
      <c r="I26" s="20" t="s">
        <v>2605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2626</v>
      </c>
      <c r="D27" s="10" t="s">
        <v>2261</v>
      </c>
      <c r="E27" s="12" t="s">
        <v>267</v>
      </c>
      <c r="F27" s="20" t="s">
        <v>687</v>
      </c>
      <c r="G27" s="20" t="s">
        <v>397</v>
      </c>
      <c r="H27" s="20">
        <v>4</v>
      </c>
      <c r="I27" s="20" t="s">
        <v>2605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2627</v>
      </c>
      <c r="D28" s="10" t="s">
        <v>112</v>
      </c>
      <c r="E28" s="12" t="s">
        <v>331</v>
      </c>
      <c r="F28" s="20" t="s">
        <v>701</v>
      </c>
      <c r="G28" s="20" t="s">
        <v>397</v>
      </c>
      <c r="H28" s="20">
        <v>4</v>
      </c>
      <c r="I28" s="20" t="s">
        <v>2605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2628</v>
      </c>
      <c r="D29" s="10" t="s">
        <v>127</v>
      </c>
      <c r="E29" s="12" t="s">
        <v>44</v>
      </c>
      <c r="F29" s="20" t="s">
        <v>683</v>
      </c>
      <c r="G29" s="20" t="s">
        <v>397</v>
      </c>
      <c r="H29" s="20">
        <v>4</v>
      </c>
      <c r="I29" s="20" t="s">
        <v>2605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2629</v>
      </c>
      <c r="D30" s="10" t="s">
        <v>157</v>
      </c>
      <c r="E30" s="12" t="s">
        <v>44</v>
      </c>
      <c r="F30" s="20" t="s">
        <v>117</v>
      </c>
      <c r="G30" s="20" t="s">
        <v>397</v>
      </c>
      <c r="H30" s="20">
        <v>4</v>
      </c>
      <c r="I30" s="20" t="s">
        <v>2605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2630</v>
      </c>
      <c r="D31" s="10" t="s">
        <v>146</v>
      </c>
      <c r="E31" s="12" t="s">
        <v>44</v>
      </c>
      <c r="F31" s="20" t="s">
        <v>2631</v>
      </c>
      <c r="G31" s="20" t="s">
        <v>397</v>
      </c>
      <c r="H31" s="20">
        <v>4</v>
      </c>
      <c r="I31" s="20" t="s">
        <v>2605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2632</v>
      </c>
      <c r="D32" s="10" t="s">
        <v>2633</v>
      </c>
      <c r="E32" s="12" t="s">
        <v>212</v>
      </c>
      <c r="F32" s="20" t="s">
        <v>720</v>
      </c>
      <c r="G32" s="20" t="s">
        <v>397</v>
      </c>
      <c r="H32" s="20">
        <v>4</v>
      </c>
      <c r="I32" s="20" t="s">
        <v>2605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2634</v>
      </c>
      <c r="D33" s="10" t="s">
        <v>281</v>
      </c>
      <c r="E33" s="12" t="s">
        <v>188</v>
      </c>
      <c r="F33" s="20" t="s">
        <v>683</v>
      </c>
      <c r="G33" s="20" t="s">
        <v>397</v>
      </c>
      <c r="H33" s="20">
        <v>4</v>
      </c>
      <c r="I33" s="20" t="s">
        <v>2605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2635</v>
      </c>
      <c r="D34" s="10" t="s">
        <v>247</v>
      </c>
      <c r="E34" s="12" t="s">
        <v>268</v>
      </c>
      <c r="F34" s="20" t="s">
        <v>450</v>
      </c>
      <c r="G34" s="20" t="s">
        <v>397</v>
      </c>
      <c r="H34" s="20">
        <v>4</v>
      </c>
      <c r="I34" s="20" t="s">
        <v>2605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2636</v>
      </c>
      <c r="D35" s="10" t="s">
        <v>340</v>
      </c>
      <c r="E35" s="12" t="s">
        <v>213</v>
      </c>
      <c r="F35" s="20" t="s">
        <v>117</v>
      </c>
      <c r="G35" s="20" t="s">
        <v>397</v>
      </c>
      <c r="H35" s="20">
        <v>4</v>
      </c>
      <c r="I35" s="20" t="s">
        <v>2605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2637</v>
      </c>
      <c r="D36" s="10" t="s">
        <v>364</v>
      </c>
      <c r="E36" s="12" t="s">
        <v>269</v>
      </c>
      <c r="F36" s="20" t="s">
        <v>692</v>
      </c>
      <c r="G36" s="20" t="s">
        <v>397</v>
      </c>
      <c r="H36" s="20">
        <v>4</v>
      </c>
      <c r="I36" s="20" t="s">
        <v>2605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2638</v>
      </c>
      <c r="D37" s="10" t="s">
        <v>2639</v>
      </c>
      <c r="E37" s="12" t="s">
        <v>235</v>
      </c>
      <c r="F37" s="20" t="s">
        <v>756</v>
      </c>
      <c r="G37" s="20" t="s">
        <v>397</v>
      </c>
      <c r="H37" s="20">
        <v>4</v>
      </c>
      <c r="I37" s="20" t="s">
        <v>2605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1" t="s">
        <v>2640</v>
      </c>
      <c r="D38" s="9" t="s">
        <v>2641</v>
      </c>
      <c r="E38" s="11" t="s">
        <v>235</v>
      </c>
      <c r="F38" s="19" t="s">
        <v>683</v>
      </c>
      <c r="G38" s="19" t="s">
        <v>397</v>
      </c>
      <c r="H38" s="19">
        <v>4</v>
      </c>
      <c r="I38" s="19" t="s">
        <v>2605</v>
      </c>
      <c r="J38" s="17" t="s">
        <v>13</v>
      </c>
      <c r="K38" s="17" t="s">
        <v>13</v>
      </c>
      <c r="L38" s="17" t="s">
        <v>13</v>
      </c>
      <c r="M38" s="17" t="s">
        <v>13</v>
      </c>
      <c r="N38" s="14" t="str">
        <f>+IF(OR($J38=0,$K38=0,$L38=0,$M38=0),"Không đủ ĐKDT","")</f>
        <v/>
      </c>
    </row>
    <row r="39" spans="2:14" ht="16.5" customHeight="1">
      <c r="B39" s="15">
        <v>30</v>
      </c>
      <c r="C39" s="22" t="s">
        <v>2642</v>
      </c>
      <c r="D39" s="10" t="s">
        <v>172</v>
      </c>
      <c r="E39" s="12" t="s">
        <v>49</v>
      </c>
      <c r="F39" s="20" t="s">
        <v>675</v>
      </c>
      <c r="G39" s="20" t="s">
        <v>397</v>
      </c>
      <c r="H39" s="20">
        <v>4</v>
      </c>
      <c r="I39" s="20" t="s">
        <v>2605</v>
      </c>
      <c r="J39" s="18" t="s">
        <v>13</v>
      </c>
      <c r="K39" s="18" t="s">
        <v>13</v>
      </c>
      <c r="L39" s="18" t="s">
        <v>13</v>
      </c>
      <c r="M39" s="18" t="s">
        <v>13</v>
      </c>
      <c r="N39" s="16" t="str">
        <f>+IF(OR($J39=0,$K39=0,$L39=0,$M39=0),"Không đủ ĐKDT","")</f>
        <v/>
      </c>
    </row>
    <row r="40" spans="2:14" ht="16.5" customHeight="1">
      <c r="B40" s="15">
        <v>31</v>
      </c>
      <c r="C40" s="22" t="s">
        <v>2643</v>
      </c>
      <c r="D40" s="10" t="s">
        <v>1169</v>
      </c>
      <c r="E40" s="12" t="s">
        <v>253</v>
      </c>
      <c r="F40" s="20" t="s">
        <v>694</v>
      </c>
      <c r="G40" s="20" t="s">
        <v>397</v>
      </c>
      <c r="H40" s="20">
        <v>4</v>
      </c>
      <c r="I40" s="20" t="s">
        <v>2605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 t="shared" ref="N40:N64" si="1">+IF(OR($J40=0,$K40=0,$L40=0,$M40=0),"Không đủ ĐKDT","")</f>
        <v/>
      </c>
    </row>
    <row r="41" spans="2:14" ht="16.5" customHeight="1">
      <c r="B41" s="15">
        <v>32</v>
      </c>
      <c r="C41" s="22" t="s">
        <v>2644</v>
      </c>
      <c r="D41" s="10" t="s">
        <v>79</v>
      </c>
      <c r="E41" s="12" t="s">
        <v>253</v>
      </c>
      <c r="F41" s="20" t="s">
        <v>675</v>
      </c>
      <c r="G41" s="20" t="s">
        <v>397</v>
      </c>
      <c r="H41" s="20">
        <v>4</v>
      </c>
      <c r="I41" s="20" t="s">
        <v>2605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si="1"/>
        <v/>
      </c>
    </row>
    <row r="42" spans="2:14" ht="16.5" customHeight="1">
      <c r="B42" s="15">
        <v>33</v>
      </c>
      <c r="C42" s="22" t="s">
        <v>2645</v>
      </c>
      <c r="D42" s="10" t="s">
        <v>298</v>
      </c>
      <c r="E42" s="12" t="s">
        <v>53</v>
      </c>
      <c r="F42" s="20" t="s">
        <v>687</v>
      </c>
      <c r="G42" s="20" t="s">
        <v>397</v>
      </c>
      <c r="H42" s="20">
        <v>4</v>
      </c>
      <c r="I42" s="20" t="s">
        <v>2605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2646</v>
      </c>
      <c r="D43" s="10" t="s">
        <v>2647</v>
      </c>
      <c r="E43" s="12" t="s">
        <v>1378</v>
      </c>
      <c r="F43" s="20" t="s">
        <v>701</v>
      </c>
      <c r="G43" s="20" t="s">
        <v>397</v>
      </c>
      <c r="H43" s="20">
        <v>4</v>
      </c>
      <c r="I43" s="20" t="s">
        <v>2605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2648</v>
      </c>
      <c r="D44" s="10" t="s">
        <v>88</v>
      </c>
      <c r="E44" s="12" t="s">
        <v>56</v>
      </c>
      <c r="F44" s="20" t="s">
        <v>756</v>
      </c>
      <c r="G44" s="20" t="s">
        <v>397</v>
      </c>
      <c r="H44" s="20">
        <v>4</v>
      </c>
      <c r="I44" s="20" t="s">
        <v>2605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2649</v>
      </c>
      <c r="D45" s="10" t="s">
        <v>76</v>
      </c>
      <c r="E45" s="12" t="s">
        <v>58</v>
      </c>
      <c r="F45" s="20" t="s">
        <v>117</v>
      </c>
      <c r="G45" s="20" t="s">
        <v>397</v>
      </c>
      <c r="H45" s="20">
        <v>4</v>
      </c>
      <c r="I45" s="20" t="s">
        <v>2605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2650</v>
      </c>
      <c r="D46" s="10" t="s">
        <v>137</v>
      </c>
      <c r="E46" s="12" t="s">
        <v>62</v>
      </c>
      <c r="F46" s="20" t="s">
        <v>690</v>
      </c>
      <c r="G46" s="20" t="s">
        <v>397</v>
      </c>
      <c r="H46" s="20">
        <v>4</v>
      </c>
      <c r="I46" s="20" t="s">
        <v>2605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2651</v>
      </c>
      <c r="D47" s="10" t="s">
        <v>200</v>
      </c>
      <c r="E47" s="12" t="s">
        <v>2652</v>
      </c>
      <c r="F47" s="20" t="s">
        <v>2653</v>
      </c>
      <c r="G47" s="20" t="s">
        <v>397</v>
      </c>
      <c r="H47" s="20">
        <v>4</v>
      </c>
      <c r="I47" s="20" t="s">
        <v>2605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2654</v>
      </c>
      <c r="D48" s="10" t="s">
        <v>364</v>
      </c>
      <c r="E48" s="12" t="s">
        <v>142</v>
      </c>
      <c r="F48" s="20" t="s">
        <v>2655</v>
      </c>
      <c r="G48" s="20" t="s">
        <v>397</v>
      </c>
      <c r="H48" s="20">
        <v>4</v>
      </c>
      <c r="I48" s="20" t="s">
        <v>2605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2656</v>
      </c>
      <c r="D49" s="10" t="s">
        <v>61</v>
      </c>
      <c r="E49" s="12" t="s">
        <v>71</v>
      </c>
      <c r="F49" s="20" t="s">
        <v>117</v>
      </c>
      <c r="G49" s="20" t="s">
        <v>397</v>
      </c>
      <c r="H49" s="20">
        <v>4</v>
      </c>
      <c r="I49" s="20" t="s">
        <v>2605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2657</v>
      </c>
      <c r="D50" s="10" t="s">
        <v>2658</v>
      </c>
      <c r="E50" s="12" t="s">
        <v>72</v>
      </c>
      <c r="F50" s="20" t="s">
        <v>2659</v>
      </c>
      <c r="G50" s="20" t="s">
        <v>397</v>
      </c>
      <c r="H50" s="20">
        <v>4</v>
      </c>
      <c r="I50" s="20" t="s">
        <v>2605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2660</v>
      </c>
      <c r="D51" s="10" t="s">
        <v>2661</v>
      </c>
      <c r="E51" s="12" t="s">
        <v>72</v>
      </c>
      <c r="F51" s="20" t="s">
        <v>567</v>
      </c>
      <c r="G51" s="20" t="s">
        <v>397</v>
      </c>
      <c r="H51" s="20">
        <v>4</v>
      </c>
      <c r="I51" s="20" t="s">
        <v>2605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2662</v>
      </c>
      <c r="D52" s="10" t="s">
        <v>2663</v>
      </c>
      <c r="E52" s="12" t="s">
        <v>72</v>
      </c>
      <c r="F52" s="20" t="s">
        <v>720</v>
      </c>
      <c r="G52" s="20" t="s">
        <v>397</v>
      </c>
      <c r="H52" s="20">
        <v>4</v>
      </c>
      <c r="I52" s="20" t="s">
        <v>2605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2664</v>
      </c>
      <c r="D53" s="10" t="s">
        <v>137</v>
      </c>
      <c r="E53" s="12" t="s">
        <v>72</v>
      </c>
      <c r="F53" s="20" t="s">
        <v>2665</v>
      </c>
      <c r="G53" s="20" t="s">
        <v>397</v>
      </c>
      <c r="H53" s="20">
        <v>4</v>
      </c>
      <c r="I53" s="20" t="s">
        <v>2605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2666</v>
      </c>
      <c r="D54" s="10" t="s">
        <v>2667</v>
      </c>
      <c r="E54" s="12" t="s">
        <v>755</v>
      </c>
      <c r="F54" s="20" t="s">
        <v>692</v>
      </c>
      <c r="G54" s="20" t="s">
        <v>397</v>
      </c>
      <c r="H54" s="20">
        <v>4</v>
      </c>
      <c r="I54" s="20" t="s">
        <v>2605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2668</v>
      </c>
      <c r="D55" s="10" t="s">
        <v>119</v>
      </c>
      <c r="E55" s="12" t="s">
        <v>73</v>
      </c>
      <c r="F55" s="20" t="s">
        <v>450</v>
      </c>
      <c r="G55" s="20" t="s">
        <v>397</v>
      </c>
      <c r="H55" s="20">
        <v>4</v>
      </c>
      <c r="I55" s="20" t="s">
        <v>2605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2669</v>
      </c>
      <c r="D56" s="10" t="s">
        <v>1161</v>
      </c>
      <c r="E56" s="12" t="s">
        <v>75</v>
      </c>
      <c r="F56" s="20" t="s">
        <v>720</v>
      </c>
      <c r="G56" s="20" t="s">
        <v>397</v>
      </c>
      <c r="H56" s="20">
        <v>4</v>
      </c>
      <c r="I56" s="20" t="s">
        <v>2605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2670</v>
      </c>
      <c r="D57" s="10" t="s">
        <v>119</v>
      </c>
      <c r="E57" s="12" t="s">
        <v>75</v>
      </c>
      <c r="F57" s="20" t="s">
        <v>696</v>
      </c>
      <c r="G57" s="20" t="s">
        <v>397</v>
      </c>
      <c r="H57" s="20">
        <v>4</v>
      </c>
      <c r="I57" s="20" t="s">
        <v>2605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2671</v>
      </c>
      <c r="D58" s="10" t="s">
        <v>2672</v>
      </c>
      <c r="E58" s="12" t="s">
        <v>75</v>
      </c>
      <c r="F58" s="20" t="s">
        <v>456</v>
      </c>
      <c r="G58" s="20" t="s">
        <v>397</v>
      </c>
      <c r="H58" s="20">
        <v>4</v>
      </c>
      <c r="I58" s="20" t="s">
        <v>2605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2673</v>
      </c>
      <c r="D59" s="10" t="s">
        <v>193</v>
      </c>
      <c r="E59" s="12" t="s">
        <v>75</v>
      </c>
      <c r="F59" s="20" t="s">
        <v>450</v>
      </c>
      <c r="G59" s="20" t="s">
        <v>397</v>
      </c>
      <c r="H59" s="20">
        <v>4</v>
      </c>
      <c r="I59" s="20" t="s">
        <v>2605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2674</v>
      </c>
      <c r="D60" s="10" t="s">
        <v>2675</v>
      </c>
      <c r="E60" s="12" t="s">
        <v>75</v>
      </c>
      <c r="F60" s="20" t="s">
        <v>117</v>
      </c>
      <c r="G60" s="20" t="s">
        <v>397</v>
      </c>
      <c r="H60" s="20">
        <v>4</v>
      </c>
      <c r="I60" s="20" t="s">
        <v>2605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2676</v>
      </c>
      <c r="D61" s="10" t="s">
        <v>2677</v>
      </c>
      <c r="E61" s="12" t="s">
        <v>77</v>
      </c>
      <c r="F61" s="20" t="s">
        <v>683</v>
      </c>
      <c r="G61" s="20" t="s">
        <v>397</v>
      </c>
      <c r="H61" s="20">
        <v>4</v>
      </c>
      <c r="I61" s="20" t="s">
        <v>2605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2678</v>
      </c>
      <c r="D62" s="10" t="s">
        <v>76</v>
      </c>
      <c r="E62" s="12" t="s">
        <v>147</v>
      </c>
      <c r="F62" s="20" t="s">
        <v>396</v>
      </c>
      <c r="G62" s="20" t="s">
        <v>397</v>
      </c>
      <c r="H62" s="20">
        <v>4</v>
      </c>
      <c r="I62" s="20" t="s">
        <v>2605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2679</v>
      </c>
      <c r="D63" s="10" t="s">
        <v>2680</v>
      </c>
      <c r="E63" s="12" t="s">
        <v>375</v>
      </c>
      <c r="F63" s="20" t="s">
        <v>450</v>
      </c>
      <c r="G63" s="20" t="s">
        <v>397</v>
      </c>
      <c r="H63" s="20">
        <v>4</v>
      </c>
      <c r="I63" s="20" t="s">
        <v>2605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2681</v>
      </c>
      <c r="D64" s="10" t="s">
        <v>2682</v>
      </c>
      <c r="E64" s="12" t="s">
        <v>2683</v>
      </c>
      <c r="F64" s="20" t="s">
        <v>30</v>
      </c>
      <c r="G64" s="20" t="s">
        <v>397</v>
      </c>
      <c r="H64" s="20">
        <v>4</v>
      </c>
      <c r="I64" s="20" t="s">
        <v>2605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1" t="s">
        <v>2684</v>
      </c>
      <c r="D65" s="9" t="s">
        <v>57</v>
      </c>
      <c r="E65" s="11" t="s">
        <v>195</v>
      </c>
      <c r="F65" s="19" t="s">
        <v>2685</v>
      </c>
      <c r="G65" s="19" t="s">
        <v>397</v>
      </c>
      <c r="H65" s="19">
        <v>4</v>
      </c>
      <c r="I65" s="19" t="s">
        <v>2605</v>
      </c>
      <c r="J65" s="17" t="s">
        <v>13</v>
      </c>
      <c r="K65" s="17" t="s">
        <v>13</v>
      </c>
      <c r="L65" s="17" t="s">
        <v>13</v>
      </c>
      <c r="M65" s="17" t="s">
        <v>13</v>
      </c>
      <c r="N65" s="14" t="str">
        <f>+IF(OR($J65=0,$K65=0,$L65=0,$M65=0),"Không đủ ĐKDT","")</f>
        <v/>
      </c>
    </row>
    <row r="66" spans="2:14" ht="16.5" customHeight="1">
      <c r="B66" s="15">
        <v>57</v>
      </c>
      <c r="C66" s="22" t="s">
        <v>2686</v>
      </c>
      <c r="D66" s="10" t="s">
        <v>393</v>
      </c>
      <c r="E66" s="12" t="s">
        <v>89</v>
      </c>
      <c r="F66" s="20" t="s">
        <v>690</v>
      </c>
      <c r="G66" s="20" t="s">
        <v>397</v>
      </c>
      <c r="H66" s="20">
        <v>4</v>
      </c>
      <c r="I66" s="20" t="s">
        <v>2605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>+IF(OR($J66=0,$K66=0,$L66=0,$M66=0),"Không đủ ĐKDT","")</f>
        <v/>
      </c>
    </row>
    <row r="67" spans="2:14" ht="16.5" customHeight="1">
      <c r="B67" s="15">
        <v>58</v>
      </c>
      <c r="C67" s="22" t="s">
        <v>2687</v>
      </c>
      <c r="D67" s="10" t="s">
        <v>2688</v>
      </c>
      <c r="E67" s="12" t="s">
        <v>91</v>
      </c>
      <c r="F67" s="20" t="s">
        <v>2689</v>
      </c>
      <c r="G67" s="20" t="s">
        <v>397</v>
      </c>
      <c r="H67" s="20">
        <v>4</v>
      </c>
      <c r="I67" s="20" t="s">
        <v>2605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ref="N67:N91" si="2">+IF(OR($J67=0,$K67=0,$L67=0,$M67=0),"Không đủ ĐKDT","")</f>
        <v/>
      </c>
    </row>
    <row r="68" spans="2:14" ht="16.5" customHeight="1">
      <c r="B68" s="15">
        <v>59</v>
      </c>
      <c r="C68" s="22" t="s">
        <v>2690</v>
      </c>
      <c r="D68" s="10" t="s">
        <v>163</v>
      </c>
      <c r="E68" s="12" t="s">
        <v>91</v>
      </c>
      <c r="F68" s="20" t="s">
        <v>675</v>
      </c>
      <c r="G68" s="20" t="s">
        <v>397</v>
      </c>
      <c r="H68" s="20">
        <v>4</v>
      </c>
      <c r="I68" s="20" t="s">
        <v>2605</v>
      </c>
      <c r="J68" s="18" t="s">
        <v>13</v>
      </c>
      <c r="K68" s="18" t="s">
        <v>13</v>
      </c>
      <c r="L68" s="18" t="s">
        <v>13</v>
      </c>
      <c r="M68" s="18" t="s">
        <v>13</v>
      </c>
      <c r="N68" s="16" t="str">
        <f t="shared" si="2"/>
        <v/>
      </c>
    </row>
    <row r="69" spans="2:14" ht="16.5" customHeight="1">
      <c r="B69" s="15">
        <v>60</v>
      </c>
      <c r="C69" s="22" t="s">
        <v>2691</v>
      </c>
      <c r="D69" s="10" t="s">
        <v>199</v>
      </c>
      <c r="E69" s="12" t="s">
        <v>93</v>
      </c>
      <c r="F69" s="20" t="s">
        <v>690</v>
      </c>
      <c r="G69" s="20" t="s">
        <v>397</v>
      </c>
      <c r="H69" s="20">
        <v>4</v>
      </c>
      <c r="I69" s="20" t="s">
        <v>2605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 t="shared" si="2"/>
        <v/>
      </c>
    </row>
    <row r="70" spans="2:14" ht="16.5" customHeight="1">
      <c r="B70" s="15">
        <v>61</v>
      </c>
      <c r="C70" s="22" t="s">
        <v>2692</v>
      </c>
      <c r="D70" s="10" t="s">
        <v>167</v>
      </c>
      <c r="E70" s="12" t="s">
        <v>93</v>
      </c>
      <c r="F70" s="20" t="s">
        <v>675</v>
      </c>
      <c r="G70" s="20" t="s">
        <v>397</v>
      </c>
      <c r="H70" s="20">
        <v>4</v>
      </c>
      <c r="I70" s="20" t="s">
        <v>2605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si="2"/>
        <v/>
      </c>
    </row>
    <row r="71" spans="2:14" ht="16.5" customHeight="1">
      <c r="B71" s="15">
        <v>62</v>
      </c>
      <c r="C71" s="22" t="s">
        <v>2693</v>
      </c>
      <c r="D71" s="10" t="s">
        <v>2694</v>
      </c>
      <c r="E71" s="12" t="s">
        <v>384</v>
      </c>
      <c r="F71" s="20" t="s">
        <v>692</v>
      </c>
      <c r="G71" s="20" t="s">
        <v>397</v>
      </c>
      <c r="H71" s="20">
        <v>4</v>
      </c>
      <c r="I71" s="20" t="s">
        <v>2605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2695</v>
      </c>
      <c r="D72" s="10" t="s">
        <v>68</v>
      </c>
      <c r="E72" s="12" t="s">
        <v>97</v>
      </c>
      <c r="F72" s="20" t="s">
        <v>2696</v>
      </c>
      <c r="G72" s="20" t="s">
        <v>397</v>
      </c>
      <c r="H72" s="20">
        <v>4</v>
      </c>
      <c r="I72" s="20" t="s">
        <v>2605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2697</v>
      </c>
      <c r="D73" s="10" t="s">
        <v>1617</v>
      </c>
      <c r="E73" s="12" t="s">
        <v>97</v>
      </c>
      <c r="F73" s="20" t="s">
        <v>675</v>
      </c>
      <c r="G73" s="20" t="s">
        <v>397</v>
      </c>
      <c r="H73" s="20">
        <v>4</v>
      </c>
      <c r="I73" s="20" t="s">
        <v>2605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2698</v>
      </c>
      <c r="D74" s="10" t="s">
        <v>2699</v>
      </c>
      <c r="E74" s="12" t="s">
        <v>101</v>
      </c>
      <c r="F74" s="20" t="s">
        <v>690</v>
      </c>
      <c r="G74" s="20" t="s">
        <v>397</v>
      </c>
      <c r="H74" s="20">
        <v>4</v>
      </c>
      <c r="I74" s="20" t="s">
        <v>2605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2700</v>
      </c>
      <c r="D75" s="10" t="s">
        <v>70</v>
      </c>
      <c r="E75" s="12" t="s">
        <v>225</v>
      </c>
      <c r="F75" s="20" t="s">
        <v>43</v>
      </c>
      <c r="G75" s="20" t="s">
        <v>397</v>
      </c>
      <c r="H75" s="20">
        <v>4</v>
      </c>
      <c r="I75" s="20" t="s">
        <v>2605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2701</v>
      </c>
      <c r="D76" s="10" t="s">
        <v>2108</v>
      </c>
      <c r="E76" s="12" t="s">
        <v>106</v>
      </c>
      <c r="F76" s="20" t="s">
        <v>117</v>
      </c>
      <c r="G76" s="20" t="s">
        <v>397</v>
      </c>
      <c r="H76" s="20">
        <v>4</v>
      </c>
      <c r="I76" s="20" t="s">
        <v>2605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2702</v>
      </c>
      <c r="D77" s="10" t="s">
        <v>2703</v>
      </c>
      <c r="E77" s="12" t="s">
        <v>156</v>
      </c>
      <c r="F77" s="20" t="s">
        <v>694</v>
      </c>
      <c r="G77" s="20" t="s">
        <v>397</v>
      </c>
      <c r="H77" s="20">
        <v>4</v>
      </c>
      <c r="I77" s="20" t="s">
        <v>2605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2704</v>
      </c>
      <c r="D78" s="10" t="s">
        <v>434</v>
      </c>
      <c r="E78" s="12" t="s">
        <v>156</v>
      </c>
      <c r="F78" s="20" t="s">
        <v>675</v>
      </c>
      <c r="G78" s="20" t="s">
        <v>397</v>
      </c>
      <c r="H78" s="20">
        <v>4</v>
      </c>
      <c r="I78" s="20" t="s">
        <v>2605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2705</v>
      </c>
      <c r="D79" s="10" t="s">
        <v>254</v>
      </c>
      <c r="E79" s="12" t="s">
        <v>156</v>
      </c>
      <c r="F79" s="20" t="s">
        <v>687</v>
      </c>
      <c r="G79" s="20" t="s">
        <v>397</v>
      </c>
      <c r="H79" s="20">
        <v>4</v>
      </c>
      <c r="I79" s="20" t="s">
        <v>2605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2706</v>
      </c>
      <c r="D80" s="10" t="s">
        <v>177</v>
      </c>
      <c r="E80" s="12" t="s">
        <v>159</v>
      </c>
      <c r="F80" s="20" t="s">
        <v>692</v>
      </c>
      <c r="G80" s="20" t="s">
        <v>397</v>
      </c>
      <c r="H80" s="20">
        <v>4</v>
      </c>
      <c r="I80" s="20" t="s">
        <v>2605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2707</v>
      </c>
      <c r="D81" s="10" t="s">
        <v>32</v>
      </c>
      <c r="E81" s="12" t="s">
        <v>113</v>
      </c>
      <c r="F81" s="20" t="s">
        <v>720</v>
      </c>
      <c r="G81" s="20" t="s">
        <v>397</v>
      </c>
      <c r="H81" s="20">
        <v>4</v>
      </c>
      <c r="I81" s="20" t="s">
        <v>2605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2708</v>
      </c>
      <c r="D82" s="10" t="s">
        <v>2709</v>
      </c>
      <c r="E82" s="12" t="s">
        <v>228</v>
      </c>
      <c r="F82" s="20" t="s">
        <v>692</v>
      </c>
      <c r="G82" s="20" t="s">
        <v>397</v>
      </c>
      <c r="H82" s="20">
        <v>4</v>
      </c>
      <c r="I82" s="20" t="s">
        <v>2605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114</v>
      </c>
      <c r="D83" s="10" t="s">
        <v>115</v>
      </c>
      <c r="E83" s="12" t="s">
        <v>116</v>
      </c>
      <c r="F83" s="20" t="s">
        <v>117</v>
      </c>
      <c r="G83" s="20" t="s">
        <v>397</v>
      </c>
      <c r="H83" s="20">
        <v>4</v>
      </c>
      <c r="I83" s="20" t="s">
        <v>2605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2710</v>
      </c>
      <c r="D84" s="10" t="s">
        <v>2711</v>
      </c>
      <c r="E84" s="12" t="s">
        <v>2712</v>
      </c>
      <c r="F84" s="20" t="s">
        <v>2713</v>
      </c>
      <c r="G84" s="20" t="s">
        <v>397</v>
      </c>
      <c r="H84" s="20">
        <v>4</v>
      </c>
      <c r="I84" s="20" t="s">
        <v>2605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2714</v>
      </c>
      <c r="D85" s="10" t="s">
        <v>2715</v>
      </c>
      <c r="E85" s="12" t="s">
        <v>161</v>
      </c>
      <c r="F85" s="20" t="s">
        <v>675</v>
      </c>
      <c r="G85" s="20" t="s">
        <v>397</v>
      </c>
      <c r="H85" s="20">
        <v>4</v>
      </c>
      <c r="I85" s="20" t="s">
        <v>2605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2716</v>
      </c>
      <c r="D86" s="10" t="s">
        <v>1205</v>
      </c>
      <c r="E86" s="12" t="s">
        <v>120</v>
      </c>
      <c r="F86" s="20" t="s">
        <v>675</v>
      </c>
      <c r="G86" s="20" t="s">
        <v>397</v>
      </c>
      <c r="H86" s="20">
        <v>4</v>
      </c>
      <c r="I86" s="20" t="s">
        <v>2605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2717</v>
      </c>
      <c r="D87" s="10" t="s">
        <v>463</v>
      </c>
      <c r="E87" s="12" t="s">
        <v>120</v>
      </c>
      <c r="F87" s="20" t="s">
        <v>692</v>
      </c>
      <c r="G87" s="20" t="s">
        <v>397</v>
      </c>
      <c r="H87" s="20">
        <v>4</v>
      </c>
      <c r="I87" s="20" t="s">
        <v>2605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2718</v>
      </c>
      <c r="D88" s="10" t="s">
        <v>193</v>
      </c>
      <c r="E88" s="12" t="s">
        <v>122</v>
      </c>
      <c r="F88" s="20" t="s">
        <v>675</v>
      </c>
      <c r="G88" s="20" t="s">
        <v>397</v>
      </c>
      <c r="H88" s="20">
        <v>4</v>
      </c>
      <c r="I88" s="20" t="s">
        <v>2605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2719</v>
      </c>
      <c r="D89" s="10" t="s">
        <v>2720</v>
      </c>
      <c r="E89" s="12" t="s">
        <v>128</v>
      </c>
      <c r="F89" s="20" t="s">
        <v>117</v>
      </c>
      <c r="G89" s="20" t="s">
        <v>397</v>
      </c>
      <c r="H89" s="20">
        <v>4</v>
      </c>
      <c r="I89" s="20" t="s">
        <v>2605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2721</v>
      </c>
      <c r="D90" s="10" t="s">
        <v>1816</v>
      </c>
      <c r="E90" s="12" t="s">
        <v>203</v>
      </c>
      <c r="F90" s="20" t="s">
        <v>1420</v>
      </c>
      <c r="G90" s="20" t="s">
        <v>397</v>
      </c>
      <c r="H90" s="20">
        <v>4</v>
      </c>
      <c r="I90" s="20" t="s">
        <v>2605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2722</v>
      </c>
      <c r="D91" s="10" t="s">
        <v>70</v>
      </c>
      <c r="E91" s="12" t="s">
        <v>369</v>
      </c>
      <c r="F91" s="20" t="s">
        <v>692</v>
      </c>
      <c r="G91" s="20" t="s">
        <v>397</v>
      </c>
      <c r="H91" s="20">
        <v>4</v>
      </c>
      <c r="I91" s="20" t="s">
        <v>2605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9.5" customHeight="1">
      <c r="B92" s="64" t="s">
        <v>20</v>
      </c>
      <c r="C92" s="64"/>
      <c r="D92" s="64"/>
      <c r="E92" s="64"/>
    </row>
    <row r="93" spans="2:14" ht="19.5" customHeight="1">
      <c r="B93" s="55" t="str">
        <f>"Điểm chuyên cần: " &amp; $J$9 &amp; "% "</f>
        <v xml:space="preserve">Điểm chuyên cần: % </v>
      </c>
      <c r="C93" s="55"/>
      <c r="D93" s="55"/>
      <c r="E93" s="55"/>
    </row>
    <row r="94" spans="2:14" ht="19.5" customHeight="1">
      <c r="B94" s="55" t="str">
        <f>"Điểm trung bình kiểm tra: "&amp;$K$9&amp;"%"</f>
        <v>Điểm trung bình kiểm tra: %</v>
      </c>
      <c r="C94" s="55"/>
      <c r="D94" s="55"/>
      <c r="E94" s="55"/>
    </row>
    <row r="95" spans="2:14" ht="19.5" customHeight="1">
      <c r="B95" s="55" t="str">
        <f>"Điểm thí nghiệm, thực hành: "&amp;$L$9&amp;"%"</f>
        <v>Điểm thí nghiệm, thực hành: %</v>
      </c>
      <c r="C95" s="55"/>
      <c r="D95" s="55"/>
      <c r="E95" s="55"/>
    </row>
    <row r="96" spans="2:14" ht="19.5" customHeight="1">
      <c r="B96" s="55" t="str">
        <f>"Điểm bài tập tiểu luận, seminar: "&amp;$M$9&amp;"%"</f>
        <v>Điểm bài tập tiểu luận, seminar: %</v>
      </c>
      <c r="C96" s="55"/>
      <c r="D96" s="55"/>
      <c r="E96" s="55"/>
    </row>
    <row r="97" spans="2:14">
      <c r="J97" s="56" t="s">
        <v>21</v>
      </c>
      <c r="K97" s="56"/>
      <c r="L97" s="56"/>
      <c r="M97" s="56"/>
      <c r="N97" s="56"/>
    </row>
    <row r="98" spans="2:14" ht="32.25" customHeight="1">
      <c r="B98" s="57" t="s">
        <v>17</v>
      </c>
      <c r="C98" s="57"/>
      <c r="D98" s="57"/>
      <c r="E98" s="57"/>
      <c r="F98" s="32"/>
      <c r="G98" s="32"/>
      <c r="H98" s="32"/>
      <c r="I98" s="32"/>
      <c r="J98" s="57" t="s">
        <v>18</v>
      </c>
      <c r="K98" s="57"/>
      <c r="L98" s="57"/>
      <c r="M98" s="57"/>
      <c r="N98" s="57"/>
    </row>
    <row r="104" spans="2:14">
      <c r="J104" s="58"/>
      <c r="K104" s="58"/>
      <c r="L104" s="58"/>
      <c r="M104" s="58"/>
      <c r="N104" s="58"/>
    </row>
  </sheetData>
  <sheetProtection formatCells="0" formatColumns="0" formatRows="0" insertColumns="0" insertRows="0" insertHyperlinks="0" deleteColumns="0" deleteRows="0" sort="0" autoFilter="0" pivotTables="0"/>
  <autoFilter ref="A8:N37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5:E95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2:E92"/>
    <mergeCell ref="B93:E93"/>
    <mergeCell ref="B94:E94"/>
    <mergeCell ref="L7:L8"/>
    <mergeCell ref="M7:M8"/>
    <mergeCell ref="B96:E96"/>
    <mergeCell ref="J97:N97"/>
    <mergeCell ref="B98:E98"/>
    <mergeCell ref="J98:N98"/>
    <mergeCell ref="J104:N104"/>
  </mergeCells>
  <conditionalFormatting sqref="J10:M10">
    <cfRule type="cellIs" dxfId="937" priority="55" stopIfTrue="1" operator="greaterThan">
      <formula>10</formula>
    </cfRule>
    <cfRule type="cellIs" dxfId="936" priority="56" stopIfTrue="1" operator="greaterThan">
      <formula>10</formula>
    </cfRule>
    <cfRule type="cellIs" dxfId="935" priority="57" stopIfTrue="1" operator="greaterThan">
      <formula>10</formula>
    </cfRule>
    <cfRule type="cellIs" dxfId="934" priority="58" stopIfTrue="1" operator="greaterThan">
      <formula>10</formula>
    </cfRule>
  </conditionalFormatting>
  <conditionalFormatting sqref="J11:M13">
    <cfRule type="cellIs" dxfId="933" priority="51" stopIfTrue="1" operator="greaterThan">
      <formula>10</formula>
    </cfRule>
    <cfRule type="cellIs" dxfId="932" priority="52" stopIfTrue="1" operator="greaterThan">
      <formula>10</formula>
    </cfRule>
    <cfRule type="cellIs" dxfId="931" priority="53" stopIfTrue="1" operator="greaterThan">
      <formula>10</formula>
    </cfRule>
    <cfRule type="cellIs" dxfId="930" priority="54" stopIfTrue="1" operator="greaterThan">
      <formula>10</formula>
    </cfRule>
  </conditionalFormatting>
  <conditionalFormatting sqref="J14:M37">
    <cfRule type="cellIs" dxfId="929" priority="47" stopIfTrue="1" operator="greaterThan">
      <formula>10</formula>
    </cfRule>
    <cfRule type="cellIs" dxfId="928" priority="48" stopIfTrue="1" operator="greaterThan">
      <formula>10</formula>
    </cfRule>
    <cfRule type="cellIs" dxfId="927" priority="49" stopIfTrue="1" operator="greaterThan">
      <formula>10</formula>
    </cfRule>
    <cfRule type="cellIs" dxfId="926" priority="50" stopIfTrue="1" operator="greaterThan">
      <formula>10</formula>
    </cfRule>
  </conditionalFormatting>
  <conditionalFormatting sqref="C10:C37">
    <cfRule type="duplicateValues" dxfId="925" priority="295" stopIfTrue="1"/>
    <cfRule type="duplicateValues" dxfId="924" priority="296" stopIfTrue="1"/>
  </conditionalFormatting>
  <conditionalFormatting sqref="J38:M38">
    <cfRule type="cellIs" dxfId="923" priority="41" stopIfTrue="1" operator="greaterThan">
      <formula>10</formula>
    </cfRule>
    <cfRule type="cellIs" dxfId="922" priority="42" stopIfTrue="1" operator="greaterThan">
      <formula>10</formula>
    </cfRule>
    <cfRule type="cellIs" dxfId="921" priority="43" stopIfTrue="1" operator="greaterThan">
      <formula>10</formula>
    </cfRule>
    <cfRule type="cellIs" dxfId="920" priority="44" stopIfTrue="1" operator="greaterThan">
      <formula>10</formula>
    </cfRule>
  </conditionalFormatting>
  <conditionalFormatting sqref="J39:M41">
    <cfRule type="cellIs" dxfId="919" priority="37" stopIfTrue="1" operator="greaterThan">
      <formula>10</formula>
    </cfRule>
    <cfRule type="cellIs" dxfId="918" priority="38" stopIfTrue="1" operator="greaterThan">
      <formula>10</formula>
    </cfRule>
    <cfRule type="cellIs" dxfId="917" priority="39" stopIfTrue="1" operator="greaterThan">
      <formula>10</formula>
    </cfRule>
    <cfRule type="cellIs" dxfId="916" priority="40" stopIfTrue="1" operator="greaterThan">
      <formula>10</formula>
    </cfRule>
  </conditionalFormatting>
  <conditionalFormatting sqref="J42:M59 J64:M64">
    <cfRule type="cellIs" dxfId="915" priority="33" stopIfTrue="1" operator="greaterThan">
      <formula>10</formula>
    </cfRule>
    <cfRule type="cellIs" dxfId="914" priority="34" stopIfTrue="1" operator="greaterThan">
      <formula>10</formula>
    </cfRule>
    <cfRule type="cellIs" dxfId="913" priority="35" stopIfTrue="1" operator="greaterThan">
      <formula>10</formula>
    </cfRule>
    <cfRule type="cellIs" dxfId="912" priority="36" stopIfTrue="1" operator="greaterThan">
      <formula>10</formula>
    </cfRule>
  </conditionalFormatting>
  <conditionalFormatting sqref="J60:M61">
    <cfRule type="cellIs" dxfId="911" priority="27" stopIfTrue="1" operator="greaterThan">
      <formula>10</formula>
    </cfRule>
    <cfRule type="cellIs" dxfId="910" priority="28" stopIfTrue="1" operator="greaterThan">
      <formula>10</formula>
    </cfRule>
    <cfRule type="cellIs" dxfId="909" priority="29" stopIfTrue="1" operator="greaterThan">
      <formula>10</formula>
    </cfRule>
    <cfRule type="cellIs" dxfId="908" priority="30" stopIfTrue="1" operator="greaterThan">
      <formula>10</formula>
    </cfRule>
  </conditionalFormatting>
  <conditionalFormatting sqref="C60:C61">
    <cfRule type="duplicateValues" dxfId="907" priority="31" stopIfTrue="1"/>
    <cfRule type="duplicateValues" dxfId="906" priority="32" stopIfTrue="1"/>
  </conditionalFormatting>
  <conditionalFormatting sqref="J62:M63">
    <cfRule type="cellIs" dxfId="905" priority="21" stopIfTrue="1" operator="greaterThan">
      <formula>10</formula>
    </cfRule>
    <cfRule type="cellIs" dxfId="904" priority="22" stopIfTrue="1" operator="greaterThan">
      <formula>10</formula>
    </cfRule>
    <cfRule type="cellIs" dxfId="903" priority="23" stopIfTrue="1" operator="greaterThan">
      <formula>10</formula>
    </cfRule>
    <cfRule type="cellIs" dxfId="902" priority="24" stopIfTrue="1" operator="greaterThan">
      <formula>10</formula>
    </cfRule>
  </conditionalFormatting>
  <conditionalFormatting sqref="C62:C63">
    <cfRule type="duplicateValues" dxfId="901" priority="25" stopIfTrue="1"/>
    <cfRule type="duplicateValues" dxfId="900" priority="26" stopIfTrue="1"/>
  </conditionalFormatting>
  <conditionalFormatting sqref="C38:C59 C64">
    <cfRule type="duplicateValues" dxfId="899" priority="45" stopIfTrue="1"/>
    <cfRule type="duplicateValues" dxfId="898" priority="46" stopIfTrue="1"/>
  </conditionalFormatting>
  <conditionalFormatting sqref="J65:M65">
    <cfRule type="cellIs" dxfId="897" priority="15" stopIfTrue="1" operator="greaterThan">
      <formula>10</formula>
    </cfRule>
    <cfRule type="cellIs" dxfId="896" priority="16" stopIfTrue="1" operator="greaterThan">
      <formula>10</formula>
    </cfRule>
    <cfRule type="cellIs" dxfId="895" priority="17" stopIfTrue="1" operator="greaterThan">
      <formula>10</formula>
    </cfRule>
    <cfRule type="cellIs" dxfId="894" priority="18" stopIfTrue="1" operator="greaterThan">
      <formula>10</formula>
    </cfRule>
  </conditionalFormatting>
  <conditionalFormatting sqref="J66:M68">
    <cfRule type="cellIs" dxfId="893" priority="11" stopIfTrue="1" operator="greaterThan">
      <formula>10</formula>
    </cfRule>
    <cfRule type="cellIs" dxfId="892" priority="12" stopIfTrue="1" operator="greaterThan">
      <formula>10</formula>
    </cfRule>
    <cfRule type="cellIs" dxfId="891" priority="13" stopIfTrue="1" operator="greaterThan">
      <formula>10</formula>
    </cfRule>
    <cfRule type="cellIs" dxfId="890" priority="14" stopIfTrue="1" operator="greaterThan">
      <formula>10</formula>
    </cfRule>
  </conditionalFormatting>
  <conditionalFormatting sqref="J69:M83 J87:M91">
    <cfRule type="cellIs" dxfId="889" priority="7" stopIfTrue="1" operator="greaterThan">
      <formula>10</formula>
    </cfRule>
    <cfRule type="cellIs" dxfId="888" priority="8" stopIfTrue="1" operator="greaterThan">
      <formula>10</formula>
    </cfRule>
    <cfRule type="cellIs" dxfId="887" priority="9" stopIfTrue="1" operator="greaterThan">
      <formula>10</formula>
    </cfRule>
    <cfRule type="cellIs" dxfId="886" priority="10" stopIfTrue="1" operator="greaterThan">
      <formula>10</formula>
    </cfRule>
  </conditionalFormatting>
  <conditionalFormatting sqref="J84:M86">
    <cfRule type="cellIs" dxfId="885" priority="1" stopIfTrue="1" operator="greaterThan">
      <formula>10</formula>
    </cfRule>
    <cfRule type="cellIs" dxfId="884" priority="2" stopIfTrue="1" operator="greaterThan">
      <formula>10</formula>
    </cfRule>
    <cfRule type="cellIs" dxfId="883" priority="3" stopIfTrue="1" operator="greaterThan">
      <formula>10</formula>
    </cfRule>
    <cfRule type="cellIs" dxfId="882" priority="4" stopIfTrue="1" operator="greaterThan">
      <formula>10</formula>
    </cfRule>
  </conditionalFormatting>
  <conditionalFormatting sqref="C84:C86">
    <cfRule type="duplicateValues" dxfId="881" priority="5" stopIfTrue="1"/>
    <cfRule type="duplicateValues" dxfId="880" priority="6" stopIfTrue="1"/>
  </conditionalFormatting>
  <conditionalFormatting sqref="C65:C83 C87:C91">
    <cfRule type="duplicateValues" dxfId="879" priority="19" stopIfTrue="1"/>
    <cfRule type="duplicateValues" dxfId="878" priority="20" stopIfTrue="1"/>
  </conditionalFormatting>
  <dataValidations count="1">
    <dataValidation type="decimal" allowBlank="1" showInputMessage="1" showErrorMessage="1" error="Sai định dạng" sqref="J10:M91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B1:N104"/>
  <sheetViews>
    <sheetView topLeftCell="A79" workbookViewId="0">
      <selection activeCell="P90" sqref="P90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2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BAS1224_18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33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2491</v>
      </c>
      <c r="D10" s="9" t="s">
        <v>74</v>
      </c>
      <c r="E10" s="11" t="s">
        <v>2492</v>
      </c>
      <c r="F10" s="19" t="s">
        <v>720</v>
      </c>
      <c r="G10" s="19" t="s">
        <v>397</v>
      </c>
      <c r="H10" s="19">
        <v>4</v>
      </c>
      <c r="I10" s="19" t="s">
        <v>2493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2494</v>
      </c>
      <c r="D11" s="10" t="s">
        <v>183</v>
      </c>
      <c r="E11" s="12" t="s">
        <v>26</v>
      </c>
      <c r="F11" s="20" t="s">
        <v>694</v>
      </c>
      <c r="G11" s="20" t="s">
        <v>397</v>
      </c>
      <c r="H11" s="20">
        <v>4</v>
      </c>
      <c r="I11" s="20" t="s">
        <v>2493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2495</v>
      </c>
      <c r="D12" s="10" t="s">
        <v>1816</v>
      </c>
      <c r="E12" s="12" t="s">
        <v>27</v>
      </c>
      <c r="F12" s="20" t="s">
        <v>690</v>
      </c>
      <c r="G12" s="20" t="s">
        <v>397</v>
      </c>
      <c r="H12" s="20">
        <v>4</v>
      </c>
      <c r="I12" s="20" t="s">
        <v>2493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7" si="0">+IF(OR($J12=0,$K12=0,$L12=0,$M12=0),"Không đủ ĐKDT","")</f>
        <v/>
      </c>
    </row>
    <row r="13" spans="2:14" ht="16.5" customHeight="1">
      <c r="B13" s="15">
        <v>4</v>
      </c>
      <c r="C13" s="22" t="s">
        <v>2496</v>
      </c>
      <c r="D13" s="10" t="s">
        <v>32</v>
      </c>
      <c r="E13" s="12" t="s">
        <v>27</v>
      </c>
      <c r="F13" s="20" t="s">
        <v>720</v>
      </c>
      <c r="G13" s="20" t="s">
        <v>397</v>
      </c>
      <c r="H13" s="20">
        <v>4</v>
      </c>
      <c r="I13" s="20" t="s">
        <v>2493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2497</v>
      </c>
      <c r="D14" s="10" t="s">
        <v>434</v>
      </c>
      <c r="E14" s="12" t="s">
        <v>176</v>
      </c>
      <c r="F14" s="20" t="s">
        <v>675</v>
      </c>
      <c r="G14" s="20" t="s">
        <v>397</v>
      </c>
      <c r="H14" s="20">
        <v>4</v>
      </c>
      <c r="I14" s="20" t="s">
        <v>2493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2498</v>
      </c>
      <c r="D15" s="10" t="s">
        <v>119</v>
      </c>
      <c r="E15" s="12" t="s">
        <v>418</v>
      </c>
      <c r="F15" s="20" t="s">
        <v>117</v>
      </c>
      <c r="G15" s="20" t="s">
        <v>397</v>
      </c>
      <c r="H15" s="20">
        <v>4</v>
      </c>
      <c r="I15" s="20" t="s">
        <v>2493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2499</v>
      </c>
      <c r="D16" s="10" t="s">
        <v>2500</v>
      </c>
      <c r="E16" s="12" t="s">
        <v>1828</v>
      </c>
      <c r="F16" s="20" t="s">
        <v>696</v>
      </c>
      <c r="G16" s="20" t="s">
        <v>397</v>
      </c>
      <c r="H16" s="20">
        <v>4</v>
      </c>
      <c r="I16" s="20" t="s">
        <v>2493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2501</v>
      </c>
      <c r="D17" s="10" t="s">
        <v>812</v>
      </c>
      <c r="E17" s="12" t="s">
        <v>2502</v>
      </c>
      <c r="F17" s="20" t="s">
        <v>117</v>
      </c>
      <c r="G17" s="20" t="s">
        <v>397</v>
      </c>
      <c r="H17" s="20">
        <v>4</v>
      </c>
      <c r="I17" s="20" t="s">
        <v>2493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2503</v>
      </c>
      <c r="D18" s="10" t="s">
        <v>1769</v>
      </c>
      <c r="E18" s="12" t="s">
        <v>36</v>
      </c>
      <c r="F18" s="20" t="s">
        <v>117</v>
      </c>
      <c r="G18" s="20" t="s">
        <v>397</v>
      </c>
      <c r="H18" s="20">
        <v>4</v>
      </c>
      <c r="I18" s="20" t="s">
        <v>2493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2504</v>
      </c>
      <c r="D19" s="10" t="s">
        <v>174</v>
      </c>
      <c r="E19" s="12" t="s">
        <v>135</v>
      </c>
      <c r="F19" s="20" t="s">
        <v>696</v>
      </c>
      <c r="G19" s="20" t="s">
        <v>397</v>
      </c>
      <c r="H19" s="20">
        <v>4</v>
      </c>
      <c r="I19" s="20" t="s">
        <v>2493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2505</v>
      </c>
      <c r="D20" s="10" t="s">
        <v>2506</v>
      </c>
      <c r="E20" s="12" t="s">
        <v>135</v>
      </c>
      <c r="F20" s="20" t="s">
        <v>690</v>
      </c>
      <c r="G20" s="20" t="s">
        <v>397</v>
      </c>
      <c r="H20" s="20">
        <v>4</v>
      </c>
      <c r="I20" s="20" t="s">
        <v>2493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2507</v>
      </c>
      <c r="D21" s="10" t="s">
        <v>280</v>
      </c>
      <c r="E21" s="12" t="s">
        <v>136</v>
      </c>
      <c r="F21" s="20" t="s">
        <v>756</v>
      </c>
      <c r="G21" s="20" t="s">
        <v>397</v>
      </c>
      <c r="H21" s="20">
        <v>4</v>
      </c>
      <c r="I21" s="20" t="s">
        <v>2493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2508</v>
      </c>
      <c r="D22" s="10" t="s">
        <v>973</v>
      </c>
      <c r="E22" s="12" t="s">
        <v>136</v>
      </c>
      <c r="F22" s="20" t="s">
        <v>450</v>
      </c>
      <c r="G22" s="20" t="s">
        <v>397</v>
      </c>
      <c r="H22" s="20">
        <v>4</v>
      </c>
      <c r="I22" s="20" t="s">
        <v>2493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2509</v>
      </c>
      <c r="D23" s="10" t="s">
        <v>2510</v>
      </c>
      <c r="E23" s="12" t="s">
        <v>2511</v>
      </c>
      <c r="F23" s="20" t="s">
        <v>468</v>
      </c>
      <c r="G23" s="20" t="s">
        <v>397</v>
      </c>
      <c r="H23" s="20">
        <v>4</v>
      </c>
      <c r="I23" s="20" t="s">
        <v>2493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2512</v>
      </c>
      <c r="D24" s="10" t="s">
        <v>715</v>
      </c>
      <c r="E24" s="12" t="s">
        <v>44</v>
      </c>
      <c r="F24" s="20" t="s">
        <v>117</v>
      </c>
      <c r="G24" s="20" t="s">
        <v>397</v>
      </c>
      <c r="H24" s="20">
        <v>4</v>
      </c>
      <c r="I24" s="20" t="s">
        <v>2493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2513</v>
      </c>
      <c r="D25" s="10" t="s">
        <v>57</v>
      </c>
      <c r="E25" s="12" t="s">
        <v>44</v>
      </c>
      <c r="F25" s="20" t="s">
        <v>692</v>
      </c>
      <c r="G25" s="20" t="s">
        <v>397</v>
      </c>
      <c r="H25" s="20">
        <v>4</v>
      </c>
      <c r="I25" s="20" t="s">
        <v>2493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2514</v>
      </c>
      <c r="D26" s="10" t="s">
        <v>157</v>
      </c>
      <c r="E26" s="12" t="s">
        <v>44</v>
      </c>
      <c r="F26" s="20" t="s">
        <v>696</v>
      </c>
      <c r="G26" s="20" t="s">
        <v>397</v>
      </c>
      <c r="H26" s="20">
        <v>4</v>
      </c>
      <c r="I26" s="20" t="s">
        <v>2493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2515</v>
      </c>
      <c r="D27" s="10" t="s">
        <v>252</v>
      </c>
      <c r="E27" s="12" t="s">
        <v>44</v>
      </c>
      <c r="F27" s="20" t="s">
        <v>687</v>
      </c>
      <c r="G27" s="20" t="s">
        <v>397</v>
      </c>
      <c r="H27" s="20">
        <v>4</v>
      </c>
      <c r="I27" s="20" t="s">
        <v>2493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2516</v>
      </c>
      <c r="D28" s="10" t="s">
        <v>78</v>
      </c>
      <c r="E28" s="12" t="s">
        <v>250</v>
      </c>
      <c r="F28" s="20" t="s">
        <v>687</v>
      </c>
      <c r="G28" s="20" t="s">
        <v>397</v>
      </c>
      <c r="H28" s="20">
        <v>4</v>
      </c>
      <c r="I28" s="20" t="s">
        <v>2493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2517</v>
      </c>
      <c r="D29" s="10" t="s">
        <v>1026</v>
      </c>
      <c r="E29" s="12" t="s">
        <v>48</v>
      </c>
      <c r="F29" s="20" t="s">
        <v>687</v>
      </c>
      <c r="G29" s="20" t="s">
        <v>397</v>
      </c>
      <c r="H29" s="20">
        <v>4</v>
      </c>
      <c r="I29" s="20" t="s">
        <v>2493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2518</v>
      </c>
      <c r="D30" s="10" t="s">
        <v>1264</v>
      </c>
      <c r="E30" s="12" t="s">
        <v>49</v>
      </c>
      <c r="F30" s="20" t="s">
        <v>692</v>
      </c>
      <c r="G30" s="20" t="s">
        <v>397</v>
      </c>
      <c r="H30" s="20">
        <v>4</v>
      </c>
      <c r="I30" s="20" t="s">
        <v>2493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2519</v>
      </c>
      <c r="D31" s="10" t="s">
        <v>90</v>
      </c>
      <c r="E31" s="12" t="s">
        <v>49</v>
      </c>
      <c r="F31" s="20" t="s">
        <v>117</v>
      </c>
      <c r="G31" s="20" t="s">
        <v>397</v>
      </c>
      <c r="H31" s="20">
        <v>4</v>
      </c>
      <c r="I31" s="20" t="s">
        <v>2493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2520</v>
      </c>
      <c r="D32" s="10" t="s">
        <v>2521</v>
      </c>
      <c r="E32" s="12" t="s">
        <v>49</v>
      </c>
      <c r="F32" s="20" t="s">
        <v>675</v>
      </c>
      <c r="G32" s="20" t="s">
        <v>397</v>
      </c>
      <c r="H32" s="20">
        <v>4</v>
      </c>
      <c r="I32" s="20" t="s">
        <v>2493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2522</v>
      </c>
      <c r="D33" s="10" t="s">
        <v>573</v>
      </c>
      <c r="E33" s="12" t="s">
        <v>53</v>
      </c>
      <c r="F33" s="20" t="s">
        <v>450</v>
      </c>
      <c r="G33" s="20" t="s">
        <v>397</v>
      </c>
      <c r="H33" s="20">
        <v>4</v>
      </c>
      <c r="I33" s="20" t="s">
        <v>2493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2523</v>
      </c>
      <c r="D34" s="10" t="s">
        <v>2524</v>
      </c>
      <c r="E34" s="12" t="s">
        <v>53</v>
      </c>
      <c r="F34" s="20" t="s">
        <v>720</v>
      </c>
      <c r="G34" s="20" t="s">
        <v>397</v>
      </c>
      <c r="H34" s="20">
        <v>4</v>
      </c>
      <c r="I34" s="20" t="s">
        <v>2493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2525</v>
      </c>
      <c r="D35" s="10" t="s">
        <v>1769</v>
      </c>
      <c r="E35" s="12" t="s">
        <v>53</v>
      </c>
      <c r="F35" s="20" t="s">
        <v>692</v>
      </c>
      <c r="G35" s="20" t="s">
        <v>397</v>
      </c>
      <c r="H35" s="20">
        <v>4</v>
      </c>
      <c r="I35" s="20" t="s">
        <v>2493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2526</v>
      </c>
      <c r="D36" s="10" t="s">
        <v>157</v>
      </c>
      <c r="E36" s="12" t="s">
        <v>56</v>
      </c>
      <c r="F36" s="20" t="s">
        <v>683</v>
      </c>
      <c r="G36" s="20" t="s">
        <v>397</v>
      </c>
      <c r="H36" s="20">
        <v>4</v>
      </c>
      <c r="I36" s="20" t="s">
        <v>2493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2527</v>
      </c>
      <c r="D37" s="10" t="s">
        <v>2528</v>
      </c>
      <c r="E37" s="12" t="s">
        <v>56</v>
      </c>
      <c r="F37" s="20" t="s">
        <v>117</v>
      </c>
      <c r="G37" s="20" t="s">
        <v>397</v>
      </c>
      <c r="H37" s="20">
        <v>4</v>
      </c>
      <c r="I37" s="20" t="s">
        <v>2493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1" t="s">
        <v>2529</v>
      </c>
      <c r="D38" s="9" t="s">
        <v>1481</v>
      </c>
      <c r="E38" s="11" t="s">
        <v>58</v>
      </c>
      <c r="F38" s="19" t="s">
        <v>405</v>
      </c>
      <c r="G38" s="19" t="s">
        <v>397</v>
      </c>
      <c r="H38" s="19">
        <v>4</v>
      </c>
      <c r="I38" s="19" t="s">
        <v>2493</v>
      </c>
      <c r="J38" s="17" t="s">
        <v>13</v>
      </c>
      <c r="K38" s="17" t="s">
        <v>13</v>
      </c>
      <c r="L38" s="17" t="s">
        <v>13</v>
      </c>
      <c r="M38" s="17" t="s">
        <v>13</v>
      </c>
      <c r="N38" s="14" t="str">
        <f>+IF(OR($J38=0,$K38=0,$L38=0,$M38=0),"Không đủ ĐKDT","")</f>
        <v/>
      </c>
    </row>
    <row r="39" spans="2:14" ht="16.5" customHeight="1">
      <c r="B39" s="15">
        <v>30</v>
      </c>
      <c r="C39" s="22" t="s">
        <v>2530</v>
      </c>
      <c r="D39" s="10" t="s">
        <v>959</v>
      </c>
      <c r="E39" s="12" t="s">
        <v>58</v>
      </c>
      <c r="F39" s="20" t="s">
        <v>690</v>
      </c>
      <c r="G39" s="20" t="s">
        <v>397</v>
      </c>
      <c r="H39" s="20">
        <v>4</v>
      </c>
      <c r="I39" s="20" t="s">
        <v>2493</v>
      </c>
      <c r="J39" s="18" t="s">
        <v>13</v>
      </c>
      <c r="K39" s="18" t="s">
        <v>13</v>
      </c>
      <c r="L39" s="18" t="s">
        <v>13</v>
      </c>
      <c r="M39" s="18" t="s">
        <v>13</v>
      </c>
      <c r="N39" s="16" t="str">
        <f>+IF(OR($J39=0,$K39=0,$L39=0,$M39=0),"Không đủ ĐKDT","")</f>
        <v/>
      </c>
    </row>
    <row r="40" spans="2:14" ht="16.5" customHeight="1">
      <c r="B40" s="15">
        <v>31</v>
      </c>
      <c r="C40" s="22" t="s">
        <v>2531</v>
      </c>
      <c r="D40" s="10" t="s">
        <v>245</v>
      </c>
      <c r="E40" s="12" t="s">
        <v>58</v>
      </c>
      <c r="F40" s="20" t="s">
        <v>675</v>
      </c>
      <c r="G40" s="20" t="s">
        <v>397</v>
      </c>
      <c r="H40" s="20">
        <v>4</v>
      </c>
      <c r="I40" s="20" t="s">
        <v>2493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 t="shared" ref="N40:N64" si="1">+IF(OR($J40=0,$K40=0,$L40=0,$M40=0),"Không đủ ĐKDT","")</f>
        <v/>
      </c>
    </row>
    <row r="41" spans="2:14" ht="16.5" customHeight="1">
      <c r="B41" s="15">
        <v>32</v>
      </c>
      <c r="C41" s="22" t="s">
        <v>2532</v>
      </c>
      <c r="D41" s="10" t="s">
        <v>2533</v>
      </c>
      <c r="E41" s="12" t="s">
        <v>58</v>
      </c>
      <c r="F41" s="20" t="s">
        <v>687</v>
      </c>
      <c r="G41" s="20" t="s">
        <v>397</v>
      </c>
      <c r="H41" s="20">
        <v>4</v>
      </c>
      <c r="I41" s="20" t="s">
        <v>2493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si="1"/>
        <v/>
      </c>
    </row>
    <row r="42" spans="2:14" ht="16.5" customHeight="1">
      <c r="B42" s="15">
        <v>33</v>
      </c>
      <c r="C42" s="22" t="s">
        <v>2534</v>
      </c>
      <c r="D42" s="10" t="s">
        <v>76</v>
      </c>
      <c r="E42" s="12" t="s">
        <v>58</v>
      </c>
      <c r="F42" s="20" t="s">
        <v>690</v>
      </c>
      <c r="G42" s="20" t="s">
        <v>397</v>
      </c>
      <c r="H42" s="20">
        <v>4</v>
      </c>
      <c r="I42" s="20" t="s">
        <v>2493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2535</v>
      </c>
      <c r="D43" s="10" t="s">
        <v>281</v>
      </c>
      <c r="E43" s="12" t="s">
        <v>62</v>
      </c>
      <c r="F43" s="20" t="s">
        <v>683</v>
      </c>
      <c r="G43" s="20" t="s">
        <v>397</v>
      </c>
      <c r="H43" s="20">
        <v>4</v>
      </c>
      <c r="I43" s="20" t="s">
        <v>2493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2536</v>
      </c>
      <c r="D44" s="10" t="s">
        <v>326</v>
      </c>
      <c r="E44" s="12" t="s">
        <v>65</v>
      </c>
      <c r="F44" s="20" t="s">
        <v>694</v>
      </c>
      <c r="G44" s="20" t="s">
        <v>397</v>
      </c>
      <c r="H44" s="20">
        <v>4</v>
      </c>
      <c r="I44" s="20" t="s">
        <v>2493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2537</v>
      </c>
      <c r="D45" s="10" t="s">
        <v>1175</v>
      </c>
      <c r="E45" s="12" t="s">
        <v>301</v>
      </c>
      <c r="F45" s="20" t="s">
        <v>701</v>
      </c>
      <c r="G45" s="20" t="s">
        <v>397</v>
      </c>
      <c r="H45" s="20">
        <v>4</v>
      </c>
      <c r="I45" s="20" t="s">
        <v>2493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2538</v>
      </c>
      <c r="D46" s="10" t="s">
        <v>2539</v>
      </c>
      <c r="E46" s="12" t="s">
        <v>1399</v>
      </c>
      <c r="F46" s="20" t="s">
        <v>690</v>
      </c>
      <c r="G46" s="20" t="s">
        <v>397</v>
      </c>
      <c r="H46" s="20">
        <v>4</v>
      </c>
      <c r="I46" s="20" t="s">
        <v>2493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2540</v>
      </c>
      <c r="D47" s="10" t="s">
        <v>133</v>
      </c>
      <c r="E47" s="12" t="s">
        <v>69</v>
      </c>
      <c r="F47" s="20" t="s">
        <v>687</v>
      </c>
      <c r="G47" s="20" t="s">
        <v>397</v>
      </c>
      <c r="H47" s="20">
        <v>4</v>
      </c>
      <c r="I47" s="20" t="s">
        <v>2493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2541</v>
      </c>
      <c r="D48" s="10" t="s">
        <v>2542</v>
      </c>
      <c r="E48" s="12" t="s">
        <v>473</v>
      </c>
      <c r="F48" s="20" t="s">
        <v>692</v>
      </c>
      <c r="G48" s="20" t="s">
        <v>397</v>
      </c>
      <c r="H48" s="20">
        <v>4</v>
      </c>
      <c r="I48" s="20" t="s">
        <v>2493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2543</v>
      </c>
      <c r="D49" s="10" t="s">
        <v>182</v>
      </c>
      <c r="E49" s="12" t="s">
        <v>2544</v>
      </c>
      <c r="F49" s="20" t="s">
        <v>450</v>
      </c>
      <c r="G49" s="20" t="s">
        <v>397</v>
      </c>
      <c r="H49" s="20">
        <v>4</v>
      </c>
      <c r="I49" s="20" t="s">
        <v>2493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2545</v>
      </c>
      <c r="D50" s="10" t="s">
        <v>189</v>
      </c>
      <c r="E50" s="12" t="s">
        <v>142</v>
      </c>
      <c r="F50" s="20" t="s">
        <v>696</v>
      </c>
      <c r="G50" s="20" t="s">
        <v>397</v>
      </c>
      <c r="H50" s="20">
        <v>4</v>
      </c>
      <c r="I50" s="20" t="s">
        <v>2493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2546</v>
      </c>
      <c r="D51" s="10" t="s">
        <v>76</v>
      </c>
      <c r="E51" s="12" t="s">
        <v>2547</v>
      </c>
      <c r="F51" s="20" t="s">
        <v>720</v>
      </c>
      <c r="G51" s="20" t="s">
        <v>397</v>
      </c>
      <c r="H51" s="20">
        <v>4</v>
      </c>
      <c r="I51" s="20" t="s">
        <v>2493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2548</v>
      </c>
      <c r="D52" s="10" t="s">
        <v>2549</v>
      </c>
      <c r="E52" s="12" t="s">
        <v>71</v>
      </c>
      <c r="F52" s="20" t="s">
        <v>410</v>
      </c>
      <c r="G52" s="20" t="s">
        <v>397</v>
      </c>
      <c r="H52" s="20">
        <v>4</v>
      </c>
      <c r="I52" s="20" t="s">
        <v>2493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2550</v>
      </c>
      <c r="D53" s="10" t="s">
        <v>37</v>
      </c>
      <c r="E53" s="12" t="s">
        <v>71</v>
      </c>
      <c r="F53" s="20" t="s">
        <v>687</v>
      </c>
      <c r="G53" s="20" t="s">
        <v>397</v>
      </c>
      <c r="H53" s="20">
        <v>4</v>
      </c>
      <c r="I53" s="20" t="s">
        <v>2493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2551</v>
      </c>
      <c r="D54" s="10" t="s">
        <v>2552</v>
      </c>
      <c r="E54" s="12" t="s">
        <v>71</v>
      </c>
      <c r="F54" s="20" t="s">
        <v>675</v>
      </c>
      <c r="G54" s="20" t="s">
        <v>397</v>
      </c>
      <c r="H54" s="20">
        <v>4</v>
      </c>
      <c r="I54" s="20" t="s">
        <v>2493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2553</v>
      </c>
      <c r="D55" s="10" t="s">
        <v>237</v>
      </c>
      <c r="E55" s="12" t="s">
        <v>72</v>
      </c>
      <c r="F55" s="20" t="s">
        <v>117</v>
      </c>
      <c r="G55" s="20" t="s">
        <v>397</v>
      </c>
      <c r="H55" s="20">
        <v>4</v>
      </c>
      <c r="I55" s="20" t="s">
        <v>2493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2554</v>
      </c>
      <c r="D56" s="10" t="s">
        <v>434</v>
      </c>
      <c r="E56" s="12" t="s">
        <v>75</v>
      </c>
      <c r="F56" s="20" t="s">
        <v>690</v>
      </c>
      <c r="G56" s="20" t="s">
        <v>397</v>
      </c>
      <c r="H56" s="20">
        <v>4</v>
      </c>
      <c r="I56" s="20" t="s">
        <v>2493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2555</v>
      </c>
      <c r="D57" s="10" t="s">
        <v>321</v>
      </c>
      <c r="E57" s="12" t="s">
        <v>77</v>
      </c>
      <c r="F57" s="20" t="s">
        <v>675</v>
      </c>
      <c r="G57" s="20" t="s">
        <v>397</v>
      </c>
      <c r="H57" s="20">
        <v>4</v>
      </c>
      <c r="I57" s="20" t="s">
        <v>2493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2556</v>
      </c>
      <c r="D58" s="10" t="s">
        <v>88</v>
      </c>
      <c r="E58" s="12" t="s">
        <v>77</v>
      </c>
      <c r="F58" s="20" t="s">
        <v>692</v>
      </c>
      <c r="G58" s="20" t="s">
        <v>397</v>
      </c>
      <c r="H58" s="20">
        <v>4</v>
      </c>
      <c r="I58" s="20" t="s">
        <v>2493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2557</v>
      </c>
      <c r="D59" s="10" t="s">
        <v>2558</v>
      </c>
      <c r="E59" s="12" t="s">
        <v>77</v>
      </c>
      <c r="F59" s="20" t="s">
        <v>720</v>
      </c>
      <c r="G59" s="20" t="s">
        <v>397</v>
      </c>
      <c r="H59" s="20">
        <v>4</v>
      </c>
      <c r="I59" s="20" t="s">
        <v>2493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2559</v>
      </c>
      <c r="D60" s="10" t="s">
        <v>2560</v>
      </c>
      <c r="E60" s="12" t="s">
        <v>77</v>
      </c>
      <c r="F60" s="20" t="s">
        <v>687</v>
      </c>
      <c r="G60" s="20" t="s">
        <v>397</v>
      </c>
      <c r="H60" s="20">
        <v>4</v>
      </c>
      <c r="I60" s="20" t="s">
        <v>2493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2561</v>
      </c>
      <c r="D61" s="10" t="s">
        <v>296</v>
      </c>
      <c r="E61" s="12" t="s">
        <v>77</v>
      </c>
      <c r="F61" s="20" t="s">
        <v>692</v>
      </c>
      <c r="G61" s="20" t="s">
        <v>397</v>
      </c>
      <c r="H61" s="20">
        <v>4</v>
      </c>
      <c r="I61" s="20" t="s">
        <v>2493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2562</v>
      </c>
      <c r="D62" s="10" t="s">
        <v>189</v>
      </c>
      <c r="E62" s="12" t="s">
        <v>147</v>
      </c>
      <c r="F62" s="20" t="s">
        <v>40</v>
      </c>
      <c r="G62" s="20" t="s">
        <v>397</v>
      </c>
      <c r="H62" s="20">
        <v>4</v>
      </c>
      <c r="I62" s="20" t="s">
        <v>2493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2563</v>
      </c>
      <c r="D63" s="10" t="s">
        <v>76</v>
      </c>
      <c r="E63" s="12" t="s">
        <v>81</v>
      </c>
      <c r="F63" s="20" t="s">
        <v>694</v>
      </c>
      <c r="G63" s="20" t="s">
        <v>397</v>
      </c>
      <c r="H63" s="20">
        <v>4</v>
      </c>
      <c r="I63" s="20" t="s">
        <v>2493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2564</v>
      </c>
      <c r="D64" s="10" t="s">
        <v>2565</v>
      </c>
      <c r="E64" s="12" t="s">
        <v>81</v>
      </c>
      <c r="F64" s="20" t="s">
        <v>720</v>
      </c>
      <c r="G64" s="20" t="s">
        <v>397</v>
      </c>
      <c r="H64" s="20">
        <v>4</v>
      </c>
      <c r="I64" s="20" t="s">
        <v>2493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1" t="s">
        <v>2566</v>
      </c>
      <c r="D65" s="9" t="s">
        <v>2567</v>
      </c>
      <c r="E65" s="11" t="s">
        <v>260</v>
      </c>
      <c r="F65" s="19" t="s">
        <v>701</v>
      </c>
      <c r="G65" s="19" t="s">
        <v>397</v>
      </c>
      <c r="H65" s="19">
        <v>4</v>
      </c>
      <c r="I65" s="19" t="s">
        <v>2493</v>
      </c>
      <c r="J65" s="17" t="s">
        <v>13</v>
      </c>
      <c r="K65" s="17" t="s">
        <v>13</v>
      </c>
      <c r="L65" s="17" t="s">
        <v>13</v>
      </c>
      <c r="M65" s="17" t="s">
        <v>13</v>
      </c>
      <c r="N65" s="14" t="str">
        <f>+IF(OR($J65=0,$K65=0,$L65=0,$M65=0),"Không đủ ĐKDT","")</f>
        <v/>
      </c>
    </row>
    <row r="66" spans="2:14" ht="16.5" customHeight="1">
      <c r="B66" s="15">
        <v>57</v>
      </c>
      <c r="C66" s="22" t="s">
        <v>2568</v>
      </c>
      <c r="D66" s="10" t="s">
        <v>2569</v>
      </c>
      <c r="E66" s="12" t="s">
        <v>2570</v>
      </c>
      <c r="F66" s="20" t="s">
        <v>683</v>
      </c>
      <c r="G66" s="20" t="s">
        <v>397</v>
      </c>
      <c r="H66" s="20">
        <v>4</v>
      </c>
      <c r="I66" s="20" t="s">
        <v>2493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>+IF(OR($J66=0,$K66=0,$L66=0,$M66=0),"Không đủ ĐKDT","")</f>
        <v/>
      </c>
    </row>
    <row r="67" spans="2:14" ht="16.5" customHeight="1">
      <c r="B67" s="15">
        <v>58</v>
      </c>
      <c r="C67" s="22" t="s">
        <v>2571</v>
      </c>
      <c r="D67" s="10" t="s">
        <v>249</v>
      </c>
      <c r="E67" s="12" t="s">
        <v>87</v>
      </c>
      <c r="F67" s="20" t="s">
        <v>692</v>
      </c>
      <c r="G67" s="20" t="s">
        <v>397</v>
      </c>
      <c r="H67" s="20">
        <v>4</v>
      </c>
      <c r="I67" s="20" t="s">
        <v>2493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ref="N67:N91" si="2">+IF(OR($J67=0,$K67=0,$L67=0,$M67=0),"Không đủ ĐKDT","")</f>
        <v/>
      </c>
    </row>
    <row r="68" spans="2:14" ht="16.5" customHeight="1">
      <c r="B68" s="15">
        <v>59</v>
      </c>
      <c r="C68" s="22" t="s">
        <v>2572</v>
      </c>
      <c r="D68" s="10" t="s">
        <v>760</v>
      </c>
      <c r="E68" s="12" t="s">
        <v>91</v>
      </c>
      <c r="F68" s="20" t="s">
        <v>720</v>
      </c>
      <c r="G68" s="20" t="s">
        <v>397</v>
      </c>
      <c r="H68" s="20">
        <v>4</v>
      </c>
      <c r="I68" s="20" t="s">
        <v>2493</v>
      </c>
      <c r="J68" s="18" t="s">
        <v>13</v>
      </c>
      <c r="K68" s="18" t="s">
        <v>13</v>
      </c>
      <c r="L68" s="18" t="s">
        <v>13</v>
      </c>
      <c r="M68" s="18" t="s">
        <v>13</v>
      </c>
      <c r="N68" s="16" t="str">
        <f t="shared" si="2"/>
        <v/>
      </c>
    </row>
    <row r="69" spans="2:14" ht="16.5" customHeight="1">
      <c r="B69" s="15">
        <v>60</v>
      </c>
      <c r="C69" s="22" t="s">
        <v>2573</v>
      </c>
      <c r="D69" s="10" t="s">
        <v>157</v>
      </c>
      <c r="E69" s="12" t="s">
        <v>91</v>
      </c>
      <c r="F69" s="20" t="s">
        <v>694</v>
      </c>
      <c r="G69" s="20" t="s">
        <v>397</v>
      </c>
      <c r="H69" s="20">
        <v>4</v>
      </c>
      <c r="I69" s="20" t="s">
        <v>2493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 t="shared" si="2"/>
        <v/>
      </c>
    </row>
    <row r="70" spans="2:14" ht="16.5" customHeight="1">
      <c r="B70" s="15">
        <v>61</v>
      </c>
      <c r="C70" s="22" t="s">
        <v>2574</v>
      </c>
      <c r="D70" s="10" t="s">
        <v>247</v>
      </c>
      <c r="E70" s="12" t="s">
        <v>91</v>
      </c>
      <c r="F70" s="20" t="s">
        <v>683</v>
      </c>
      <c r="G70" s="20" t="s">
        <v>397</v>
      </c>
      <c r="H70" s="20">
        <v>4</v>
      </c>
      <c r="I70" s="20" t="s">
        <v>2493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si="2"/>
        <v/>
      </c>
    </row>
    <row r="71" spans="2:14" ht="16.5" customHeight="1">
      <c r="B71" s="15">
        <v>62</v>
      </c>
      <c r="C71" s="22" t="s">
        <v>2575</v>
      </c>
      <c r="D71" s="10" t="s">
        <v>199</v>
      </c>
      <c r="E71" s="12" t="s">
        <v>97</v>
      </c>
      <c r="F71" s="20" t="s">
        <v>450</v>
      </c>
      <c r="G71" s="20" t="s">
        <v>397</v>
      </c>
      <c r="H71" s="20">
        <v>4</v>
      </c>
      <c r="I71" s="20" t="s">
        <v>2493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2576</v>
      </c>
      <c r="D72" s="10" t="s">
        <v>2577</v>
      </c>
      <c r="E72" s="12" t="s">
        <v>155</v>
      </c>
      <c r="F72" s="20" t="s">
        <v>117</v>
      </c>
      <c r="G72" s="20" t="s">
        <v>397</v>
      </c>
      <c r="H72" s="20">
        <v>4</v>
      </c>
      <c r="I72" s="20" t="s">
        <v>2493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2578</v>
      </c>
      <c r="D73" s="10" t="s">
        <v>463</v>
      </c>
      <c r="E73" s="12" t="s">
        <v>101</v>
      </c>
      <c r="F73" s="20" t="s">
        <v>450</v>
      </c>
      <c r="G73" s="20" t="s">
        <v>397</v>
      </c>
      <c r="H73" s="20">
        <v>4</v>
      </c>
      <c r="I73" s="20" t="s">
        <v>2493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2579</v>
      </c>
      <c r="D74" s="10" t="s">
        <v>184</v>
      </c>
      <c r="E74" s="12" t="s">
        <v>156</v>
      </c>
      <c r="F74" s="20" t="s">
        <v>701</v>
      </c>
      <c r="G74" s="20" t="s">
        <v>397</v>
      </c>
      <c r="H74" s="20">
        <v>4</v>
      </c>
      <c r="I74" s="20" t="s">
        <v>2493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2580</v>
      </c>
      <c r="D75" s="10" t="s">
        <v>2581</v>
      </c>
      <c r="E75" s="12" t="s">
        <v>2490</v>
      </c>
      <c r="F75" s="20" t="s">
        <v>450</v>
      </c>
      <c r="G75" s="20" t="s">
        <v>397</v>
      </c>
      <c r="H75" s="20">
        <v>4</v>
      </c>
      <c r="I75" s="20" t="s">
        <v>2493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2582</v>
      </c>
      <c r="D76" s="10" t="s">
        <v>119</v>
      </c>
      <c r="E76" s="12" t="s">
        <v>158</v>
      </c>
      <c r="F76" s="20" t="s">
        <v>701</v>
      </c>
      <c r="G76" s="20" t="s">
        <v>397</v>
      </c>
      <c r="H76" s="20">
        <v>4</v>
      </c>
      <c r="I76" s="20" t="s">
        <v>2493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2583</v>
      </c>
      <c r="D77" s="10" t="s">
        <v>2584</v>
      </c>
      <c r="E77" s="12" t="s">
        <v>161</v>
      </c>
      <c r="F77" s="20" t="s">
        <v>694</v>
      </c>
      <c r="G77" s="20" t="s">
        <v>397</v>
      </c>
      <c r="H77" s="20">
        <v>4</v>
      </c>
      <c r="I77" s="20" t="s">
        <v>2493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2585</v>
      </c>
      <c r="D78" s="10" t="s">
        <v>2586</v>
      </c>
      <c r="E78" s="12" t="s">
        <v>161</v>
      </c>
      <c r="F78" s="20" t="s">
        <v>690</v>
      </c>
      <c r="G78" s="20" t="s">
        <v>397</v>
      </c>
      <c r="H78" s="20">
        <v>4</v>
      </c>
      <c r="I78" s="20" t="s">
        <v>2493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2587</v>
      </c>
      <c r="D79" s="10" t="s">
        <v>652</v>
      </c>
      <c r="E79" s="12" t="s">
        <v>381</v>
      </c>
      <c r="F79" s="20" t="s">
        <v>701</v>
      </c>
      <c r="G79" s="20" t="s">
        <v>397</v>
      </c>
      <c r="H79" s="20">
        <v>4</v>
      </c>
      <c r="I79" s="20" t="s">
        <v>2493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2588</v>
      </c>
      <c r="D80" s="10" t="s">
        <v>2108</v>
      </c>
      <c r="E80" s="12" t="s">
        <v>2589</v>
      </c>
      <c r="F80" s="20" t="s">
        <v>450</v>
      </c>
      <c r="G80" s="20" t="s">
        <v>397</v>
      </c>
      <c r="H80" s="20">
        <v>4</v>
      </c>
      <c r="I80" s="20" t="s">
        <v>2493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2590</v>
      </c>
      <c r="D81" s="10" t="s">
        <v>41</v>
      </c>
      <c r="E81" s="12" t="s">
        <v>285</v>
      </c>
      <c r="F81" s="20" t="s">
        <v>117</v>
      </c>
      <c r="G81" s="20" t="s">
        <v>397</v>
      </c>
      <c r="H81" s="20">
        <v>4</v>
      </c>
      <c r="I81" s="20" t="s">
        <v>2493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2591</v>
      </c>
      <c r="D82" s="10" t="s">
        <v>169</v>
      </c>
      <c r="E82" s="12" t="s">
        <v>166</v>
      </c>
      <c r="F82" s="20" t="s">
        <v>117</v>
      </c>
      <c r="G82" s="20" t="s">
        <v>397</v>
      </c>
      <c r="H82" s="20">
        <v>4</v>
      </c>
      <c r="I82" s="20" t="s">
        <v>2493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2592</v>
      </c>
      <c r="D83" s="10" t="s">
        <v>119</v>
      </c>
      <c r="E83" s="12" t="s">
        <v>125</v>
      </c>
      <c r="F83" s="20" t="s">
        <v>683</v>
      </c>
      <c r="G83" s="20" t="s">
        <v>397</v>
      </c>
      <c r="H83" s="20">
        <v>4</v>
      </c>
      <c r="I83" s="20" t="s">
        <v>2493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2593</v>
      </c>
      <c r="D84" s="10" t="s">
        <v>2594</v>
      </c>
      <c r="E84" s="12" t="s">
        <v>128</v>
      </c>
      <c r="F84" s="20" t="s">
        <v>694</v>
      </c>
      <c r="G84" s="20" t="s">
        <v>397</v>
      </c>
      <c r="H84" s="20">
        <v>4</v>
      </c>
      <c r="I84" s="20" t="s">
        <v>2493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2595</v>
      </c>
      <c r="D85" s="10" t="s">
        <v>2596</v>
      </c>
      <c r="E85" s="12" t="s">
        <v>203</v>
      </c>
      <c r="F85" s="20" t="s">
        <v>683</v>
      </c>
      <c r="G85" s="20" t="s">
        <v>397</v>
      </c>
      <c r="H85" s="20">
        <v>4</v>
      </c>
      <c r="I85" s="20" t="s">
        <v>2493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2597</v>
      </c>
      <c r="D86" s="10" t="s">
        <v>204</v>
      </c>
      <c r="E86" s="12" t="s">
        <v>203</v>
      </c>
      <c r="F86" s="20" t="s">
        <v>692</v>
      </c>
      <c r="G86" s="20" t="s">
        <v>397</v>
      </c>
      <c r="H86" s="20">
        <v>4</v>
      </c>
      <c r="I86" s="20" t="s">
        <v>2493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2598</v>
      </c>
      <c r="D87" s="10" t="s">
        <v>90</v>
      </c>
      <c r="E87" s="12" t="s">
        <v>203</v>
      </c>
      <c r="F87" s="20" t="s">
        <v>694</v>
      </c>
      <c r="G87" s="20" t="s">
        <v>397</v>
      </c>
      <c r="H87" s="20">
        <v>4</v>
      </c>
      <c r="I87" s="20" t="s">
        <v>2493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2599</v>
      </c>
      <c r="D88" s="10" t="s">
        <v>157</v>
      </c>
      <c r="E88" s="12" t="s">
        <v>2276</v>
      </c>
      <c r="F88" s="20" t="s">
        <v>683</v>
      </c>
      <c r="G88" s="20" t="s">
        <v>397</v>
      </c>
      <c r="H88" s="20">
        <v>4</v>
      </c>
      <c r="I88" s="20" t="s">
        <v>2493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2600</v>
      </c>
      <c r="D89" s="10" t="s">
        <v>2601</v>
      </c>
      <c r="E89" s="12" t="s">
        <v>2276</v>
      </c>
      <c r="F89" s="20" t="s">
        <v>720</v>
      </c>
      <c r="G89" s="20" t="s">
        <v>397</v>
      </c>
      <c r="H89" s="20">
        <v>4</v>
      </c>
      <c r="I89" s="20" t="s">
        <v>2493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2602</v>
      </c>
      <c r="D90" s="10" t="s">
        <v>182</v>
      </c>
      <c r="E90" s="12" t="s">
        <v>171</v>
      </c>
      <c r="F90" s="20" t="s">
        <v>696</v>
      </c>
      <c r="G90" s="20" t="s">
        <v>397</v>
      </c>
      <c r="H90" s="20">
        <v>4</v>
      </c>
      <c r="I90" s="20" t="s">
        <v>2493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2603</v>
      </c>
      <c r="D91" s="10" t="s">
        <v>133</v>
      </c>
      <c r="E91" s="12" t="s">
        <v>278</v>
      </c>
      <c r="F91" s="20" t="s">
        <v>450</v>
      </c>
      <c r="G91" s="20" t="s">
        <v>397</v>
      </c>
      <c r="H91" s="20">
        <v>4</v>
      </c>
      <c r="I91" s="20" t="s">
        <v>2493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9.5" customHeight="1">
      <c r="B92" s="64" t="s">
        <v>20</v>
      </c>
      <c r="C92" s="64"/>
      <c r="D92" s="64"/>
      <c r="E92" s="64"/>
    </row>
    <row r="93" spans="2:14" ht="19.5" customHeight="1">
      <c r="B93" s="55" t="str">
        <f>"Điểm chuyên cần: " &amp; $J$9 &amp; "% "</f>
        <v xml:space="preserve">Điểm chuyên cần: % </v>
      </c>
      <c r="C93" s="55"/>
      <c r="D93" s="55"/>
      <c r="E93" s="55"/>
    </row>
    <row r="94" spans="2:14" ht="19.5" customHeight="1">
      <c r="B94" s="55" t="str">
        <f>"Điểm trung bình kiểm tra: "&amp;$K$9&amp;"%"</f>
        <v>Điểm trung bình kiểm tra: %</v>
      </c>
      <c r="C94" s="55"/>
      <c r="D94" s="55"/>
      <c r="E94" s="55"/>
    </row>
    <row r="95" spans="2:14" ht="19.5" customHeight="1">
      <c r="B95" s="55" t="str">
        <f>"Điểm thí nghiệm, thực hành: "&amp;$L$9&amp;"%"</f>
        <v>Điểm thí nghiệm, thực hành: %</v>
      </c>
      <c r="C95" s="55"/>
      <c r="D95" s="55"/>
      <c r="E95" s="55"/>
    </row>
    <row r="96" spans="2:14" ht="19.5" customHeight="1">
      <c r="B96" s="55" t="str">
        <f>"Điểm bài tập tiểu luận, seminar: "&amp;$M$9&amp;"%"</f>
        <v>Điểm bài tập tiểu luận, seminar: %</v>
      </c>
      <c r="C96" s="55"/>
      <c r="D96" s="55"/>
      <c r="E96" s="55"/>
    </row>
    <row r="97" spans="2:14">
      <c r="J97" s="56" t="s">
        <v>21</v>
      </c>
      <c r="K97" s="56"/>
      <c r="L97" s="56"/>
      <c r="M97" s="56"/>
      <c r="N97" s="56"/>
    </row>
    <row r="98" spans="2:14" ht="32.25" customHeight="1">
      <c r="B98" s="57" t="s">
        <v>17</v>
      </c>
      <c r="C98" s="57"/>
      <c r="D98" s="57"/>
      <c r="E98" s="57"/>
      <c r="F98" s="32"/>
      <c r="G98" s="32"/>
      <c r="H98" s="32"/>
      <c r="I98" s="32"/>
      <c r="J98" s="57" t="s">
        <v>18</v>
      </c>
      <c r="K98" s="57"/>
      <c r="L98" s="57"/>
      <c r="M98" s="57"/>
      <c r="N98" s="57"/>
    </row>
    <row r="104" spans="2:14">
      <c r="J104" s="58"/>
      <c r="K104" s="58"/>
      <c r="L104" s="58"/>
      <c r="M104" s="58"/>
      <c r="N104" s="58"/>
    </row>
  </sheetData>
  <sheetProtection formatCells="0" formatColumns="0" formatRows="0" insertColumns="0" insertRows="0" insertHyperlinks="0" deleteColumns="0" deleteRows="0" sort="0" autoFilter="0" pivotTables="0"/>
  <autoFilter ref="A8:N37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5:E95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2:E92"/>
    <mergeCell ref="B93:E93"/>
    <mergeCell ref="B94:E94"/>
    <mergeCell ref="L7:L8"/>
    <mergeCell ref="M7:M8"/>
    <mergeCell ref="B96:E96"/>
    <mergeCell ref="J97:N97"/>
    <mergeCell ref="B98:E98"/>
    <mergeCell ref="J98:N98"/>
    <mergeCell ref="J104:N104"/>
  </mergeCells>
  <conditionalFormatting sqref="J10:M10">
    <cfRule type="cellIs" dxfId="877" priority="55" stopIfTrue="1" operator="greaterThan">
      <formula>10</formula>
    </cfRule>
    <cfRule type="cellIs" dxfId="876" priority="56" stopIfTrue="1" operator="greaterThan">
      <formula>10</formula>
    </cfRule>
    <cfRule type="cellIs" dxfId="875" priority="57" stopIfTrue="1" operator="greaterThan">
      <formula>10</formula>
    </cfRule>
    <cfRule type="cellIs" dxfId="874" priority="58" stopIfTrue="1" operator="greaterThan">
      <formula>10</formula>
    </cfRule>
  </conditionalFormatting>
  <conditionalFormatting sqref="J11:M13">
    <cfRule type="cellIs" dxfId="873" priority="51" stopIfTrue="1" operator="greaterThan">
      <formula>10</formula>
    </cfRule>
    <cfRule type="cellIs" dxfId="872" priority="52" stopIfTrue="1" operator="greaterThan">
      <formula>10</formula>
    </cfRule>
    <cfRule type="cellIs" dxfId="871" priority="53" stopIfTrue="1" operator="greaterThan">
      <formula>10</formula>
    </cfRule>
    <cfRule type="cellIs" dxfId="870" priority="54" stopIfTrue="1" operator="greaterThan">
      <formula>10</formula>
    </cfRule>
  </conditionalFormatting>
  <conditionalFormatting sqref="J14:M37">
    <cfRule type="cellIs" dxfId="869" priority="47" stopIfTrue="1" operator="greaterThan">
      <formula>10</formula>
    </cfRule>
    <cfRule type="cellIs" dxfId="868" priority="48" stopIfTrue="1" operator="greaterThan">
      <formula>10</formula>
    </cfRule>
    <cfRule type="cellIs" dxfId="867" priority="49" stopIfTrue="1" operator="greaterThan">
      <formula>10</formula>
    </cfRule>
    <cfRule type="cellIs" dxfId="866" priority="50" stopIfTrue="1" operator="greaterThan">
      <formula>10</formula>
    </cfRule>
  </conditionalFormatting>
  <conditionalFormatting sqref="C10:C37">
    <cfRule type="duplicateValues" dxfId="865" priority="289" stopIfTrue="1"/>
    <cfRule type="duplicateValues" dxfId="864" priority="290" stopIfTrue="1"/>
  </conditionalFormatting>
  <conditionalFormatting sqref="J38:M38">
    <cfRule type="cellIs" dxfId="863" priority="41" stopIfTrue="1" operator="greaterThan">
      <formula>10</formula>
    </cfRule>
    <cfRule type="cellIs" dxfId="862" priority="42" stopIfTrue="1" operator="greaterThan">
      <formula>10</formula>
    </cfRule>
    <cfRule type="cellIs" dxfId="861" priority="43" stopIfTrue="1" operator="greaterThan">
      <formula>10</formula>
    </cfRule>
    <cfRule type="cellIs" dxfId="860" priority="44" stopIfTrue="1" operator="greaterThan">
      <formula>10</formula>
    </cfRule>
  </conditionalFormatting>
  <conditionalFormatting sqref="J39:M41">
    <cfRule type="cellIs" dxfId="859" priority="37" stopIfTrue="1" operator="greaterThan">
      <formula>10</formula>
    </cfRule>
    <cfRule type="cellIs" dxfId="858" priority="38" stopIfTrue="1" operator="greaterThan">
      <formula>10</formula>
    </cfRule>
    <cfRule type="cellIs" dxfId="857" priority="39" stopIfTrue="1" operator="greaterThan">
      <formula>10</formula>
    </cfRule>
    <cfRule type="cellIs" dxfId="856" priority="40" stopIfTrue="1" operator="greaterThan">
      <formula>10</formula>
    </cfRule>
  </conditionalFormatting>
  <conditionalFormatting sqref="J42:M59 J64:M64">
    <cfRule type="cellIs" dxfId="855" priority="33" stopIfTrue="1" operator="greaterThan">
      <formula>10</formula>
    </cfRule>
    <cfRule type="cellIs" dxfId="854" priority="34" stopIfTrue="1" operator="greaterThan">
      <formula>10</formula>
    </cfRule>
    <cfRule type="cellIs" dxfId="853" priority="35" stopIfTrue="1" operator="greaterThan">
      <formula>10</formula>
    </cfRule>
    <cfRule type="cellIs" dxfId="852" priority="36" stopIfTrue="1" operator="greaterThan">
      <formula>10</formula>
    </cfRule>
  </conditionalFormatting>
  <conditionalFormatting sqref="J60:M61">
    <cfRule type="cellIs" dxfId="851" priority="27" stopIfTrue="1" operator="greaterThan">
      <formula>10</formula>
    </cfRule>
    <cfRule type="cellIs" dxfId="850" priority="28" stopIfTrue="1" operator="greaterThan">
      <formula>10</formula>
    </cfRule>
    <cfRule type="cellIs" dxfId="849" priority="29" stopIfTrue="1" operator="greaterThan">
      <formula>10</formula>
    </cfRule>
    <cfRule type="cellIs" dxfId="848" priority="30" stopIfTrue="1" operator="greaterThan">
      <formula>10</formula>
    </cfRule>
  </conditionalFormatting>
  <conditionalFormatting sqref="C60:C61">
    <cfRule type="duplicateValues" dxfId="847" priority="31" stopIfTrue="1"/>
    <cfRule type="duplicateValues" dxfId="846" priority="32" stopIfTrue="1"/>
  </conditionalFormatting>
  <conditionalFormatting sqref="J62:M63">
    <cfRule type="cellIs" dxfId="845" priority="21" stopIfTrue="1" operator="greaterThan">
      <formula>10</formula>
    </cfRule>
    <cfRule type="cellIs" dxfId="844" priority="22" stopIfTrue="1" operator="greaterThan">
      <formula>10</formula>
    </cfRule>
    <cfRule type="cellIs" dxfId="843" priority="23" stopIfTrue="1" operator="greaterThan">
      <formula>10</formula>
    </cfRule>
    <cfRule type="cellIs" dxfId="842" priority="24" stopIfTrue="1" operator="greaterThan">
      <formula>10</formula>
    </cfRule>
  </conditionalFormatting>
  <conditionalFormatting sqref="C62:C63">
    <cfRule type="duplicateValues" dxfId="841" priority="25" stopIfTrue="1"/>
    <cfRule type="duplicateValues" dxfId="840" priority="26" stopIfTrue="1"/>
  </conditionalFormatting>
  <conditionalFormatting sqref="C38:C59 C64">
    <cfRule type="duplicateValues" dxfId="839" priority="45" stopIfTrue="1"/>
    <cfRule type="duplicateValues" dxfId="838" priority="46" stopIfTrue="1"/>
  </conditionalFormatting>
  <conditionalFormatting sqref="J65:M65">
    <cfRule type="cellIs" dxfId="837" priority="15" stopIfTrue="1" operator="greaterThan">
      <formula>10</formula>
    </cfRule>
    <cfRule type="cellIs" dxfId="836" priority="16" stopIfTrue="1" operator="greaterThan">
      <formula>10</formula>
    </cfRule>
    <cfRule type="cellIs" dxfId="835" priority="17" stopIfTrue="1" operator="greaterThan">
      <formula>10</formula>
    </cfRule>
    <cfRule type="cellIs" dxfId="834" priority="18" stopIfTrue="1" operator="greaterThan">
      <formula>10</formula>
    </cfRule>
  </conditionalFormatting>
  <conditionalFormatting sqref="J66:M68">
    <cfRule type="cellIs" dxfId="833" priority="11" stopIfTrue="1" operator="greaterThan">
      <formula>10</formula>
    </cfRule>
    <cfRule type="cellIs" dxfId="832" priority="12" stopIfTrue="1" operator="greaterThan">
      <formula>10</formula>
    </cfRule>
    <cfRule type="cellIs" dxfId="831" priority="13" stopIfTrue="1" operator="greaterThan">
      <formula>10</formula>
    </cfRule>
    <cfRule type="cellIs" dxfId="830" priority="14" stopIfTrue="1" operator="greaterThan">
      <formula>10</formula>
    </cfRule>
  </conditionalFormatting>
  <conditionalFormatting sqref="J69:M83 J87:M91">
    <cfRule type="cellIs" dxfId="829" priority="7" stopIfTrue="1" operator="greaterThan">
      <formula>10</formula>
    </cfRule>
    <cfRule type="cellIs" dxfId="828" priority="8" stopIfTrue="1" operator="greaterThan">
      <formula>10</formula>
    </cfRule>
    <cfRule type="cellIs" dxfId="827" priority="9" stopIfTrue="1" operator="greaterThan">
      <formula>10</formula>
    </cfRule>
    <cfRule type="cellIs" dxfId="826" priority="10" stopIfTrue="1" operator="greaterThan">
      <formula>10</formula>
    </cfRule>
  </conditionalFormatting>
  <conditionalFormatting sqref="J84:M86">
    <cfRule type="cellIs" dxfId="825" priority="1" stopIfTrue="1" operator="greaterThan">
      <formula>10</formula>
    </cfRule>
    <cfRule type="cellIs" dxfId="824" priority="2" stopIfTrue="1" operator="greaterThan">
      <formula>10</formula>
    </cfRule>
    <cfRule type="cellIs" dxfId="823" priority="3" stopIfTrue="1" operator="greaterThan">
      <formula>10</formula>
    </cfRule>
    <cfRule type="cellIs" dxfId="822" priority="4" stopIfTrue="1" operator="greaterThan">
      <formula>10</formula>
    </cfRule>
  </conditionalFormatting>
  <conditionalFormatting sqref="C84:C86">
    <cfRule type="duplicateValues" dxfId="821" priority="5" stopIfTrue="1"/>
    <cfRule type="duplicateValues" dxfId="820" priority="6" stopIfTrue="1"/>
  </conditionalFormatting>
  <conditionalFormatting sqref="C65:C83 C87:C91">
    <cfRule type="duplicateValues" dxfId="819" priority="19" stopIfTrue="1"/>
    <cfRule type="duplicateValues" dxfId="818" priority="20" stopIfTrue="1"/>
  </conditionalFormatting>
  <dataValidations count="1">
    <dataValidation type="decimal" allowBlank="1" showInputMessage="1" showErrorMessage="1" error="Sai định dạng" sqref="J10:M91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B1:N78"/>
  <sheetViews>
    <sheetView topLeftCell="A54" workbookViewId="0">
      <selection activeCell="Q65" sqref="Q65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2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BAS1224_17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33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2405</v>
      </c>
      <c r="D10" s="9" t="s">
        <v>137</v>
      </c>
      <c r="E10" s="11" t="s">
        <v>26</v>
      </c>
      <c r="F10" s="19" t="s">
        <v>117</v>
      </c>
      <c r="G10" s="19" t="s">
        <v>397</v>
      </c>
      <c r="H10" s="19">
        <v>4</v>
      </c>
      <c r="I10" s="19" t="s">
        <v>2406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2407</v>
      </c>
      <c r="D11" s="10" t="s">
        <v>2408</v>
      </c>
      <c r="E11" s="12" t="s">
        <v>27</v>
      </c>
      <c r="F11" s="20" t="s">
        <v>701</v>
      </c>
      <c r="G11" s="20" t="s">
        <v>397</v>
      </c>
      <c r="H11" s="20">
        <v>4</v>
      </c>
      <c r="I11" s="20" t="s">
        <v>2406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2409</v>
      </c>
      <c r="D12" s="10" t="s">
        <v>41</v>
      </c>
      <c r="E12" s="12" t="s">
        <v>27</v>
      </c>
      <c r="F12" s="20" t="s">
        <v>696</v>
      </c>
      <c r="G12" s="20" t="s">
        <v>397</v>
      </c>
      <c r="H12" s="20">
        <v>4</v>
      </c>
      <c r="I12" s="20" t="s">
        <v>2406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7" si="0">+IF(OR($J12=0,$K12=0,$L12=0,$M12=0),"Không đủ ĐKDT","")</f>
        <v/>
      </c>
    </row>
    <row r="13" spans="2:14" ht="16.5" customHeight="1">
      <c r="B13" s="15">
        <v>4</v>
      </c>
      <c r="C13" s="22" t="s">
        <v>2410</v>
      </c>
      <c r="D13" s="10" t="s">
        <v>2411</v>
      </c>
      <c r="E13" s="12" t="s">
        <v>27</v>
      </c>
      <c r="F13" s="20" t="s">
        <v>1350</v>
      </c>
      <c r="G13" s="20" t="s">
        <v>397</v>
      </c>
      <c r="H13" s="20">
        <v>4</v>
      </c>
      <c r="I13" s="20" t="s">
        <v>2406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2412</v>
      </c>
      <c r="D14" s="10" t="s">
        <v>2413</v>
      </c>
      <c r="E14" s="12" t="s">
        <v>27</v>
      </c>
      <c r="F14" s="20" t="s">
        <v>720</v>
      </c>
      <c r="G14" s="20" t="s">
        <v>397</v>
      </c>
      <c r="H14" s="20">
        <v>4</v>
      </c>
      <c r="I14" s="20" t="s">
        <v>2406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2414</v>
      </c>
      <c r="D15" s="10" t="s">
        <v>211</v>
      </c>
      <c r="E15" s="12" t="s">
        <v>27</v>
      </c>
      <c r="F15" s="20" t="s">
        <v>450</v>
      </c>
      <c r="G15" s="20" t="s">
        <v>397</v>
      </c>
      <c r="H15" s="20">
        <v>4</v>
      </c>
      <c r="I15" s="20" t="s">
        <v>2406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2415</v>
      </c>
      <c r="D16" s="10" t="s">
        <v>2416</v>
      </c>
      <c r="E16" s="12" t="s">
        <v>27</v>
      </c>
      <c r="F16" s="20" t="s">
        <v>694</v>
      </c>
      <c r="G16" s="20" t="s">
        <v>397</v>
      </c>
      <c r="H16" s="20">
        <v>4</v>
      </c>
      <c r="I16" s="20" t="s">
        <v>2406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2417</v>
      </c>
      <c r="D17" s="10" t="s">
        <v>1175</v>
      </c>
      <c r="E17" s="12" t="s">
        <v>957</v>
      </c>
      <c r="F17" s="20" t="s">
        <v>1448</v>
      </c>
      <c r="G17" s="20" t="s">
        <v>397</v>
      </c>
      <c r="H17" s="20">
        <v>4</v>
      </c>
      <c r="I17" s="20" t="s">
        <v>2406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2418</v>
      </c>
      <c r="D18" s="10" t="s">
        <v>2419</v>
      </c>
      <c r="E18" s="12" t="s">
        <v>2420</v>
      </c>
      <c r="F18" s="20" t="s">
        <v>696</v>
      </c>
      <c r="G18" s="20" t="s">
        <v>397</v>
      </c>
      <c r="H18" s="20">
        <v>4</v>
      </c>
      <c r="I18" s="20" t="s">
        <v>2406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2421</v>
      </c>
      <c r="D19" s="10" t="s">
        <v>157</v>
      </c>
      <c r="E19" s="12" t="s">
        <v>265</v>
      </c>
      <c r="F19" s="20" t="s">
        <v>696</v>
      </c>
      <c r="G19" s="20" t="s">
        <v>397</v>
      </c>
      <c r="H19" s="20">
        <v>4</v>
      </c>
      <c r="I19" s="20" t="s">
        <v>2406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2422</v>
      </c>
      <c r="D20" s="10" t="s">
        <v>584</v>
      </c>
      <c r="E20" s="12" t="s">
        <v>179</v>
      </c>
      <c r="F20" s="20" t="s">
        <v>694</v>
      </c>
      <c r="G20" s="20" t="s">
        <v>397</v>
      </c>
      <c r="H20" s="20">
        <v>4</v>
      </c>
      <c r="I20" s="20" t="s">
        <v>2406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2423</v>
      </c>
      <c r="D21" s="10" t="s">
        <v>157</v>
      </c>
      <c r="E21" s="12" t="s">
        <v>426</v>
      </c>
      <c r="F21" s="20" t="s">
        <v>720</v>
      </c>
      <c r="G21" s="20" t="s">
        <v>397</v>
      </c>
      <c r="H21" s="20">
        <v>4</v>
      </c>
      <c r="I21" s="20" t="s">
        <v>2406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2424</v>
      </c>
      <c r="D22" s="10" t="s">
        <v>2425</v>
      </c>
      <c r="E22" s="12" t="s">
        <v>180</v>
      </c>
      <c r="F22" s="20" t="s">
        <v>690</v>
      </c>
      <c r="G22" s="20" t="s">
        <v>397</v>
      </c>
      <c r="H22" s="20">
        <v>4</v>
      </c>
      <c r="I22" s="20" t="s">
        <v>2406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2426</v>
      </c>
      <c r="D23" s="10" t="s">
        <v>182</v>
      </c>
      <c r="E23" s="12" t="s">
        <v>180</v>
      </c>
      <c r="F23" s="20" t="s">
        <v>694</v>
      </c>
      <c r="G23" s="20" t="s">
        <v>397</v>
      </c>
      <c r="H23" s="20">
        <v>4</v>
      </c>
      <c r="I23" s="20" t="s">
        <v>2406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2427</v>
      </c>
      <c r="D24" s="10" t="s">
        <v>184</v>
      </c>
      <c r="E24" s="12" t="s">
        <v>36</v>
      </c>
      <c r="F24" s="20" t="s">
        <v>720</v>
      </c>
      <c r="G24" s="20" t="s">
        <v>397</v>
      </c>
      <c r="H24" s="20">
        <v>4</v>
      </c>
      <c r="I24" s="20" t="s">
        <v>2406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2428</v>
      </c>
      <c r="D25" s="10" t="s">
        <v>888</v>
      </c>
      <c r="E25" s="12" t="s">
        <v>36</v>
      </c>
      <c r="F25" s="20" t="s">
        <v>694</v>
      </c>
      <c r="G25" s="20" t="s">
        <v>397</v>
      </c>
      <c r="H25" s="20">
        <v>4</v>
      </c>
      <c r="I25" s="20" t="s">
        <v>2406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2429</v>
      </c>
      <c r="D26" s="10" t="s">
        <v>2430</v>
      </c>
      <c r="E26" s="12" t="s">
        <v>136</v>
      </c>
      <c r="F26" s="20" t="s">
        <v>694</v>
      </c>
      <c r="G26" s="20" t="s">
        <v>397</v>
      </c>
      <c r="H26" s="20">
        <v>4</v>
      </c>
      <c r="I26" s="20" t="s">
        <v>2406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2431</v>
      </c>
      <c r="D27" s="10" t="s">
        <v>2432</v>
      </c>
      <c r="E27" s="12" t="s">
        <v>39</v>
      </c>
      <c r="F27" s="20" t="s">
        <v>690</v>
      </c>
      <c r="G27" s="20" t="s">
        <v>397</v>
      </c>
      <c r="H27" s="20">
        <v>4</v>
      </c>
      <c r="I27" s="20" t="s">
        <v>2406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2433</v>
      </c>
      <c r="D28" s="10" t="s">
        <v>2434</v>
      </c>
      <c r="E28" s="12" t="s">
        <v>39</v>
      </c>
      <c r="F28" s="20" t="s">
        <v>720</v>
      </c>
      <c r="G28" s="20" t="s">
        <v>397</v>
      </c>
      <c r="H28" s="20">
        <v>4</v>
      </c>
      <c r="I28" s="20" t="s">
        <v>2406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2435</v>
      </c>
      <c r="D29" s="10" t="s">
        <v>2436</v>
      </c>
      <c r="E29" s="12" t="s">
        <v>297</v>
      </c>
      <c r="F29" s="20" t="s">
        <v>720</v>
      </c>
      <c r="G29" s="20" t="s">
        <v>397</v>
      </c>
      <c r="H29" s="20">
        <v>4</v>
      </c>
      <c r="I29" s="20" t="s">
        <v>2406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2437</v>
      </c>
      <c r="D30" s="10" t="s">
        <v>32</v>
      </c>
      <c r="E30" s="12" t="s">
        <v>297</v>
      </c>
      <c r="F30" s="20" t="s">
        <v>675</v>
      </c>
      <c r="G30" s="20" t="s">
        <v>397</v>
      </c>
      <c r="H30" s="20">
        <v>4</v>
      </c>
      <c r="I30" s="20" t="s">
        <v>2406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2438</v>
      </c>
      <c r="D31" s="10" t="s">
        <v>2439</v>
      </c>
      <c r="E31" s="12" t="s">
        <v>44</v>
      </c>
      <c r="F31" s="20" t="s">
        <v>720</v>
      </c>
      <c r="G31" s="20" t="s">
        <v>397</v>
      </c>
      <c r="H31" s="20">
        <v>4</v>
      </c>
      <c r="I31" s="20" t="s">
        <v>2406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2440</v>
      </c>
      <c r="D32" s="10" t="s">
        <v>245</v>
      </c>
      <c r="E32" s="12" t="s">
        <v>44</v>
      </c>
      <c r="F32" s="20" t="s">
        <v>756</v>
      </c>
      <c r="G32" s="20" t="s">
        <v>397</v>
      </c>
      <c r="H32" s="20">
        <v>4</v>
      </c>
      <c r="I32" s="20" t="s">
        <v>2406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2441</v>
      </c>
      <c r="D33" s="10" t="s">
        <v>174</v>
      </c>
      <c r="E33" s="12" t="s">
        <v>46</v>
      </c>
      <c r="F33" s="20" t="s">
        <v>405</v>
      </c>
      <c r="G33" s="20" t="s">
        <v>397</v>
      </c>
      <c r="H33" s="20">
        <v>4</v>
      </c>
      <c r="I33" s="20" t="s">
        <v>2406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2442</v>
      </c>
      <c r="D34" s="10" t="s">
        <v>298</v>
      </c>
      <c r="E34" s="12" t="s">
        <v>46</v>
      </c>
      <c r="F34" s="20" t="s">
        <v>692</v>
      </c>
      <c r="G34" s="20" t="s">
        <v>397</v>
      </c>
      <c r="H34" s="20">
        <v>4</v>
      </c>
      <c r="I34" s="20" t="s">
        <v>2406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2443</v>
      </c>
      <c r="D35" s="10" t="s">
        <v>133</v>
      </c>
      <c r="E35" s="12" t="s">
        <v>235</v>
      </c>
      <c r="F35" s="20" t="s">
        <v>694</v>
      </c>
      <c r="G35" s="20" t="s">
        <v>397</v>
      </c>
      <c r="H35" s="20">
        <v>4</v>
      </c>
      <c r="I35" s="20" t="s">
        <v>2406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2444</v>
      </c>
      <c r="D36" s="10" t="s">
        <v>2445</v>
      </c>
      <c r="E36" s="12" t="s">
        <v>1732</v>
      </c>
      <c r="F36" s="20" t="s">
        <v>444</v>
      </c>
      <c r="G36" s="20" t="s">
        <v>397</v>
      </c>
      <c r="H36" s="20">
        <v>4</v>
      </c>
      <c r="I36" s="20" t="s">
        <v>2406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2446</v>
      </c>
      <c r="D37" s="10" t="s">
        <v>323</v>
      </c>
      <c r="E37" s="12" t="s">
        <v>48</v>
      </c>
      <c r="F37" s="20" t="s">
        <v>450</v>
      </c>
      <c r="G37" s="20" t="s">
        <v>397</v>
      </c>
      <c r="H37" s="20">
        <v>4</v>
      </c>
      <c r="I37" s="20" t="s">
        <v>2406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1" t="s">
        <v>2447</v>
      </c>
      <c r="D38" s="9" t="s">
        <v>237</v>
      </c>
      <c r="E38" s="11" t="s">
        <v>48</v>
      </c>
      <c r="F38" s="19" t="s">
        <v>1289</v>
      </c>
      <c r="G38" s="19" t="s">
        <v>397</v>
      </c>
      <c r="H38" s="19">
        <v>4</v>
      </c>
      <c r="I38" s="19" t="s">
        <v>2406</v>
      </c>
      <c r="J38" s="17" t="s">
        <v>13</v>
      </c>
      <c r="K38" s="17" t="s">
        <v>13</v>
      </c>
      <c r="L38" s="17" t="s">
        <v>13</v>
      </c>
      <c r="M38" s="17" t="s">
        <v>13</v>
      </c>
      <c r="N38" s="14" t="str">
        <f>+IF(OR($J38=0,$K38=0,$L38=0,$M38=0),"Không đủ ĐKDT","")</f>
        <v/>
      </c>
    </row>
    <row r="39" spans="2:14" ht="16.5" customHeight="1">
      <c r="B39" s="15">
        <v>30</v>
      </c>
      <c r="C39" s="22" t="s">
        <v>2448</v>
      </c>
      <c r="D39" s="10" t="s">
        <v>2449</v>
      </c>
      <c r="E39" s="12" t="s">
        <v>49</v>
      </c>
      <c r="F39" s="20" t="s">
        <v>414</v>
      </c>
      <c r="G39" s="20" t="s">
        <v>397</v>
      </c>
      <c r="H39" s="20">
        <v>4</v>
      </c>
      <c r="I39" s="20" t="s">
        <v>2406</v>
      </c>
      <c r="J39" s="18" t="s">
        <v>13</v>
      </c>
      <c r="K39" s="18" t="s">
        <v>13</v>
      </c>
      <c r="L39" s="18" t="s">
        <v>13</v>
      </c>
      <c r="M39" s="18" t="s">
        <v>13</v>
      </c>
      <c r="N39" s="16" t="str">
        <f>+IF(OR($J39=0,$K39=0,$L39=0,$M39=0),"Không đủ ĐKDT","")</f>
        <v/>
      </c>
    </row>
    <row r="40" spans="2:14" ht="16.5" customHeight="1">
      <c r="B40" s="15">
        <v>31</v>
      </c>
      <c r="C40" s="22" t="s">
        <v>2450</v>
      </c>
      <c r="D40" s="10" t="s">
        <v>191</v>
      </c>
      <c r="E40" s="12" t="s">
        <v>49</v>
      </c>
      <c r="F40" s="20" t="s">
        <v>683</v>
      </c>
      <c r="G40" s="20" t="s">
        <v>397</v>
      </c>
      <c r="H40" s="20">
        <v>4</v>
      </c>
      <c r="I40" s="20" t="s">
        <v>2406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 t="shared" ref="N40:N65" si="1">+IF(OR($J40=0,$K40=0,$L40=0,$M40=0),"Không đủ ĐKDT","")</f>
        <v/>
      </c>
    </row>
    <row r="41" spans="2:14" ht="16.5" customHeight="1">
      <c r="B41" s="15">
        <v>32</v>
      </c>
      <c r="C41" s="22" t="s">
        <v>2451</v>
      </c>
      <c r="D41" s="10" t="s">
        <v>88</v>
      </c>
      <c r="E41" s="12" t="s">
        <v>140</v>
      </c>
      <c r="F41" s="20" t="s">
        <v>450</v>
      </c>
      <c r="G41" s="20" t="s">
        <v>397</v>
      </c>
      <c r="H41" s="20">
        <v>4</v>
      </c>
      <c r="I41" s="20" t="s">
        <v>2406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si="1"/>
        <v/>
      </c>
    </row>
    <row r="42" spans="2:14" ht="16.5" customHeight="1">
      <c r="B42" s="15">
        <v>33</v>
      </c>
      <c r="C42" s="22" t="s">
        <v>2452</v>
      </c>
      <c r="D42" s="10" t="s">
        <v>2453</v>
      </c>
      <c r="E42" s="12" t="s">
        <v>253</v>
      </c>
      <c r="F42" s="20" t="s">
        <v>692</v>
      </c>
      <c r="G42" s="20" t="s">
        <v>397</v>
      </c>
      <c r="H42" s="20">
        <v>4</v>
      </c>
      <c r="I42" s="20" t="s">
        <v>2406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2454</v>
      </c>
      <c r="D43" s="10" t="s">
        <v>76</v>
      </c>
      <c r="E43" s="12" t="s">
        <v>53</v>
      </c>
      <c r="F43" s="20" t="s">
        <v>683</v>
      </c>
      <c r="G43" s="20" t="s">
        <v>397</v>
      </c>
      <c r="H43" s="20">
        <v>4</v>
      </c>
      <c r="I43" s="20" t="s">
        <v>2406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2455</v>
      </c>
      <c r="D44" s="10" t="s">
        <v>383</v>
      </c>
      <c r="E44" s="12" t="s">
        <v>53</v>
      </c>
      <c r="F44" s="20" t="s">
        <v>2456</v>
      </c>
      <c r="G44" s="20" t="s">
        <v>397</v>
      </c>
      <c r="H44" s="20">
        <v>4</v>
      </c>
      <c r="I44" s="20" t="s">
        <v>2406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2457</v>
      </c>
      <c r="D45" s="10" t="s">
        <v>2458</v>
      </c>
      <c r="E45" s="12" t="s">
        <v>2459</v>
      </c>
      <c r="F45" s="20" t="s">
        <v>720</v>
      </c>
      <c r="G45" s="20" t="s">
        <v>397</v>
      </c>
      <c r="H45" s="20">
        <v>4</v>
      </c>
      <c r="I45" s="20" t="s">
        <v>2406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2460</v>
      </c>
      <c r="D46" s="10" t="s">
        <v>182</v>
      </c>
      <c r="E46" s="12" t="s">
        <v>56</v>
      </c>
      <c r="F46" s="20" t="s">
        <v>450</v>
      </c>
      <c r="G46" s="20" t="s">
        <v>397</v>
      </c>
      <c r="H46" s="20">
        <v>4</v>
      </c>
      <c r="I46" s="20" t="s">
        <v>2406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2461</v>
      </c>
      <c r="D47" s="10" t="s">
        <v>78</v>
      </c>
      <c r="E47" s="12" t="s">
        <v>56</v>
      </c>
      <c r="F47" s="20" t="s">
        <v>701</v>
      </c>
      <c r="G47" s="20" t="s">
        <v>397</v>
      </c>
      <c r="H47" s="20">
        <v>4</v>
      </c>
      <c r="I47" s="20" t="s">
        <v>2406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2462</v>
      </c>
      <c r="D48" s="10" t="s">
        <v>2463</v>
      </c>
      <c r="E48" s="12" t="s">
        <v>56</v>
      </c>
      <c r="F48" s="20" t="s">
        <v>2464</v>
      </c>
      <c r="G48" s="20" t="s">
        <v>397</v>
      </c>
      <c r="H48" s="20">
        <v>4</v>
      </c>
      <c r="I48" s="20" t="s">
        <v>2406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2465</v>
      </c>
      <c r="D49" s="10" t="s">
        <v>372</v>
      </c>
      <c r="E49" s="12" t="s">
        <v>58</v>
      </c>
      <c r="F49" s="20" t="s">
        <v>701</v>
      </c>
      <c r="G49" s="20" t="s">
        <v>397</v>
      </c>
      <c r="H49" s="20">
        <v>4</v>
      </c>
      <c r="I49" s="20" t="s">
        <v>2406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2466</v>
      </c>
      <c r="D50" s="10" t="s">
        <v>32</v>
      </c>
      <c r="E50" s="12" t="s">
        <v>62</v>
      </c>
      <c r="F50" s="20" t="s">
        <v>117</v>
      </c>
      <c r="G50" s="20" t="s">
        <v>397</v>
      </c>
      <c r="H50" s="20">
        <v>4</v>
      </c>
      <c r="I50" s="20" t="s">
        <v>2406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2467</v>
      </c>
      <c r="D51" s="10" t="s">
        <v>2468</v>
      </c>
      <c r="E51" s="12" t="s">
        <v>67</v>
      </c>
      <c r="F51" s="20" t="s">
        <v>683</v>
      </c>
      <c r="G51" s="20" t="s">
        <v>397</v>
      </c>
      <c r="H51" s="20">
        <v>4</v>
      </c>
      <c r="I51" s="20" t="s">
        <v>2406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2469</v>
      </c>
      <c r="D52" s="10" t="s">
        <v>63</v>
      </c>
      <c r="E52" s="12" t="s">
        <v>67</v>
      </c>
      <c r="F52" s="20" t="s">
        <v>117</v>
      </c>
      <c r="G52" s="20" t="s">
        <v>397</v>
      </c>
      <c r="H52" s="20">
        <v>4</v>
      </c>
      <c r="I52" s="20" t="s">
        <v>2406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2470</v>
      </c>
      <c r="D53" s="10" t="s">
        <v>2471</v>
      </c>
      <c r="E53" s="12" t="s">
        <v>473</v>
      </c>
      <c r="F53" s="20" t="s">
        <v>720</v>
      </c>
      <c r="G53" s="20" t="s">
        <v>397</v>
      </c>
      <c r="H53" s="20">
        <v>4</v>
      </c>
      <c r="I53" s="20" t="s">
        <v>2406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2472</v>
      </c>
      <c r="D54" s="10" t="s">
        <v>189</v>
      </c>
      <c r="E54" s="12" t="s">
        <v>142</v>
      </c>
      <c r="F54" s="20" t="s">
        <v>117</v>
      </c>
      <c r="G54" s="20" t="s">
        <v>397</v>
      </c>
      <c r="H54" s="20">
        <v>4</v>
      </c>
      <c r="I54" s="20" t="s">
        <v>2406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2473</v>
      </c>
      <c r="D55" s="10" t="s">
        <v>1197</v>
      </c>
      <c r="E55" s="12" t="s">
        <v>71</v>
      </c>
      <c r="F55" s="20" t="s">
        <v>690</v>
      </c>
      <c r="G55" s="20" t="s">
        <v>397</v>
      </c>
      <c r="H55" s="20">
        <v>4</v>
      </c>
      <c r="I55" s="20" t="s">
        <v>2406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2474</v>
      </c>
      <c r="D56" s="10" t="s">
        <v>2475</v>
      </c>
      <c r="E56" s="12" t="s">
        <v>72</v>
      </c>
      <c r="F56" s="20" t="s">
        <v>756</v>
      </c>
      <c r="G56" s="20" t="s">
        <v>397</v>
      </c>
      <c r="H56" s="20">
        <v>4</v>
      </c>
      <c r="I56" s="20" t="s">
        <v>2406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2476</v>
      </c>
      <c r="D57" s="10" t="s">
        <v>227</v>
      </c>
      <c r="E57" s="12" t="s">
        <v>73</v>
      </c>
      <c r="F57" s="20" t="s">
        <v>683</v>
      </c>
      <c r="G57" s="20" t="s">
        <v>397</v>
      </c>
      <c r="H57" s="20">
        <v>4</v>
      </c>
      <c r="I57" s="20" t="s">
        <v>2406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2477</v>
      </c>
      <c r="D58" s="10" t="s">
        <v>170</v>
      </c>
      <c r="E58" s="12" t="s">
        <v>75</v>
      </c>
      <c r="F58" s="20" t="s">
        <v>1289</v>
      </c>
      <c r="G58" s="20" t="s">
        <v>397</v>
      </c>
      <c r="H58" s="20">
        <v>4</v>
      </c>
      <c r="I58" s="20" t="s">
        <v>2406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2478</v>
      </c>
      <c r="D59" s="10" t="s">
        <v>2479</v>
      </c>
      <c r="E59" s="12" t="s">
        <v>75</v>
      </c>
      <c r="F59" s="20" t="s">
        <v>696</v>
      </c>
      <c r="G59" s="20" t="s">
        <v>397</v>
      </c>
      <c r="H59" s="20">
        <v>4</v>
      </c>
      <c r="I59" s="20" t="s">
        <v>2406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2480</v>
      </c>
      <c r="D60" s="10" t="s">
        <v>2481</v>
      </c>
      <c r="E60" s="12" t="s">
        <v>77</v>
      </c>
      <c r="F60" s="20" t="s">
        <v>696</v>
      </c>
      <c r="G60" s="20" t="s">
        <v>397</v>
      </c>
      <c r="H60" s="20">
        <v>4</v>
      </c>
      <c r="I60" s="20" t="s">
        <v>2406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2482</v>
      </c>
      <c r="D61" s="10" t="s">
        <v>137</v>
      </c>
      <c r="E61" s="12" t="s">
        <v>77</v>
      </c>
      <c r="F61" s="20" t="s">
        <v>694</v>
      </c>
      <c r="G61" s="20" t="s">
        <v>397</v>
      </c>
      <c r="H61" s="20">
        <v>4</v>
      </c>
      <c r="I61" s="20" t="s">
        <v>2406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2483</v>
      </c>
      <c r="D62" s="10" t="s">
        <v>170</v>
      </c>
      <c r="E62" s="12" t="s">
        <v>195</v>
      </c>
      <c r="F62" s="20" t="s">
        <v>687</v>
      </c>
      <c r="G62" s="20" t="s">
        <v>397</v>
      </c>
      <c r="H62" s="20">
        <v>4</v>
      </c>
      <c r="I62" s="20" t="s">
        <v>2406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2484</v>
      </c>
      <c r="D63" s="10" t="s">
        <v>174</v>
      </c>
      <c r="E63" s="12" t="s">
        <v>195</v>
      </c>
      <c r="F63" s="20" t="s">
        <v>2485</v>
      </c>
      <c r="G63" s="20" t="s">
        <v>397</v>
      </c>
      <c r="H63" s="20">
        <v>4</v>
      </c>
      <c r="I63" s="20" t="s">
        <v>2406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2486</v>
      </c>
      <c r="D64" s="10" t="s">
        <v>2487</v>
      </c>
      <c r="E64" s="12" t="s">
        <v>89</v>
      </c>
      <c r="F64" s="20" t="s">
        <v>696</v>
      </c>
      <c r="G64" s="20" t="s">
        <v>397</v>
      </c>
      <c r="H64" s="20">
        <v>4</v>
      </c>
      <c r="I64" s="20" t="s">
        <v>2406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2488</v>
      </c>
      <c r="D65" s="10" t="s">
        <v>2489</v>
      </c>
      <c r="E65" s="12" t="s">
        <v>89</v>
      </c>
      <c r="F65" s="20" t="s">
        <v>117</v>
      </c>
      <c r="G65" s="20" t="s">
        <v>397</v>
      </c>
      <c r="H65" s="20">
        <v>4</v>
      </c>
      <c r="I65" s="20" t="s">
        <v>2406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9.5" customHeight="1">
      <c r="B66" s="64" t="s">
        <v>20</v>
      </c>
      <c r="C66" s="64"/>
      <c r="D66" s="64"/>
      <c r="E66" s="64"/>
    </row>
    <row r="67" spans="2:14" ht="19.5" customHeight="1">
      <c r="B67" s="55" t="str">
        <f>"Điểm chuyên cần: " &amp; $J$9 &amp; "% "</f>
        <v xml:space="preserve">Điểm chuyên cần: % </v>
      </c>
      <c r="C67" s="55"/>
      <c r="D67" s="55"/>
      <c r="E67" s="55"/>
    </row>
    <row r="68" spans="2:14" ht="19.5" customHeight="1">
      <c r="B68" s="55" t="str">
        <f>"Điểm trung bình kiểm tra: "&amp;$K$9&amp;"%"</f>
        <v>Điểm trung bình kiểm tra: %</v>
      </c>
      <c r="C68" s="55"/>
      <c r="D68" s="55"/>
      <c r="E68" s="55"/>
    </row>
    <row r="69" spans="2:14" ht="19.5" customHeight="1">
      <c r="B69" s="55" t="str">
        <f>"Điểm thí nghiệm, thực hành: "&amp;$L$9&amp;"%"</f>
        <v>Điểm thí nghiệm, thực hành: %</v>
      </c>
      <c r="C69" s="55"/>
      <c r="D69" s="55"/>
      <c r="E69" s="55"/>
    </row>
    <row r="70" spans="2:14" ht="19.5" customHeight="1">
      <c r="B70" s="55" t="str">
        <f>"Điểm bài tập tiểu luận, seminar: "&amp;$M$9&amp;"%"</f>
        <v>Điểm bài tập tiểu luận, seminar: %</v>
      </c>
      <c r="C70" s="55"/>
      <c r="D70" s="55"/>
      <c r="E70" s="55"/>
    </row>
    <row r="71" spans="2:14">
      <c r="J71" s="56" t="s">
        <v>21</v>
      </c>
      <c r="K71" s="56"/>
      <c r="L71" s="56"/>
      <c r="M71" s="56"/>
      <c r="N71" s="56"/>
    </row>
    <row r="72" spans="2:14" ht="32.25" customHeight="1">
      <c r="B72" s="57" t="s">
        <v>17</v>
      </c>
      <c r="C72" s="57"/>
      <c r="D72" s="57"/>
      <c r="E72" s="57"/>
      <c r="F72" s="32"/>
      <c r="G72" s="32"/>
      <c r="H72" s="32"/>
      <c r="I72" s="32"/>
      <c r="J72" s="57" t="s">
        <v>18</v>
      </c>
      <c r="K72" s="57"/>
      <c r="L72" s="57"/>
      <c r="M72" s="57"/>
      <c r="N72" s="57"/>
    </row>
    <row r="78" spans="2:14">
      <c r="J78" s="58"/>
      <c r="K78" s="58"/>
      <c r="L78" s="58"/>
      <c r="M78" s="58"/>
      <c r="N78" s="58"/>
    </row>
  </sheetData>
  <sheetProtection formatCells="0" formatColumns="0" formatRows="0" insertColumns="0" insertRows="0" insertHyperlinks="0" deleteColumns="0" deleteRows="0" sort="0" autoFilter="0" pivotTables="0"/>
  <autoFilter ref="A8:N37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69:E69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66:E66"/>
    <mergeCell ref="B67:E67"/>
    <mergeCell ref="B68:E68"/>
    <mergeCell ref="L7:L8"/>
    <mergeCell ref="M7:M8"/>
    <mergeCell ref="B70:E70"/>
    <mergeCell ref="J71:N71"/>
    <mergeCell ref="B72:E72"/>
    <mergeCell ref="J72:N72"/>
    <mergeCell ref="J78:N78"/>
  </mergeCells>
  <conditionalFormatting sqref="J10:M10">
    <cfRule type="cellIs" dxfId="817" priority="35" stopIfTrue="1" operator="greaterThan">
      <formula>10</formula>
    </cfRule>
    <cfRule type="cellIs" dxfId="816" priority="36" stopIfTrue="1" operator="greaterThan">
      <formula>10</formula>
    </cfRule>
    <cfRule type="cellIs" dxfId="815" priority="37" stopIfTrue="1" operator="greaterThan">
      <formula>10</formula>
    </cfRule>
    <cfRule type="cellIs" dxfId="814" priority="38" stopIfTrue="1" operator="greaterThan">
      <formula>10</formula>
    </cfRule>
  </conditionalFormatting>
  <conditionalFormatting sqref="J11:M13">
    <cfRule type="cellIs" dxfId="813" priority="31" stopIfTrue="1" operator="greaterThan">
      <formula>10</formula>
    </cfRule>
    <cfRule type="cellIs" dxfId="812" priority="32" stopIfTrue="1" operator="greaterThan">
      <formula>10</formula>
    </cfRule>
    <cfRule type="cellIs" dxfId="811" priority="33" stopIfTrue="1" operator="greaterThan">
      <formula>10</formula>
    </cfRule>
    <cfRule type="cellIs" dxfId="810" priority="34" stopIfTrue="1" operator="greaterThan">
      <formula>10</formula>
    </cfRule>
  </conditionalFormatting>
  <conditionalFormatting sqref="J14:M37">
    <cfRule type="cellIs" dxfId="809" priority="27" stopIfTrue="1" operator="greaterThan">
      <formula>10</formula>
    </cfRule>
    <cfRule type="cellIs" dxfId="808" priority="28" stopIfTrue="1" operator="greaterThan">
      <formula>10</formula>
    </cfRule>
    <cfRule type="cellIs" dxfId="807" priority="29" stopIfTrue="1" operator="greaterThan">
      <formula>10</formula>
    </cfRule>
    <cfRule type="cellIs" dxfId="806" priority="30" stopIfTrue="1" operator="greaterThan">
      <formula>10</formula>
    </cfRule>
  </conditionalFormatting>
  <conditionalFormatting sqref="C10:C37">
    <cfRule type="duplicateValues" dxfId="805" priority="263" stopIfTrue="1"/>
    <cfRule type="duplicateValues" dxfId="804" priority="264" stopIfTrue="1"/>
  </conditionalFormatting>
  <conditionalFormatting sqref="J38:M38">
    <cfRule type="cellIs" dxfId="803" priority="21" stopIfTrue="1" operator="greaterThan">
      <formula>10</formula>
    </cfRule>
    <cfRule type="cellIs" dxfId="802" priority="22" stopIfTrue="1" operator="greaterThan">
      <formula>10</formula>
    </cfRule>
    <cfRule type="cellIs" dxfId="801" priority="23" stopIfTrue="1" operator="greaterThan">
      <formula>10</formula>
    </cfRule>
    <cfRule type="cellIs" dxfId="800" priority="24" stopIfTrue="1" operator="greaterThan">
      <formula>10</formula>
    </cfRule>
  </conditionalFormatting>
  <conditionalFormatting sqref="J39:M41">
    <cfRule type="cellIs" dxfId="799" priority="17" stopIfTrue="1" operator="greaterThan">
      <formula>10</formula>
    </cfRule>
    <cfRule type="cellIs" dxfId="798" priority="18" stopIfTrue="1" operator="greaterThan">
      <formula>10</formula>
    </cfRule>
    <cfRule type="cellIs" dxfId="797" priority="19" stopIfTrue="1" operator="greaterThan">
      <formula>10</formula>
    </cfRule>
    <cfRule type="cellIs" dxfId="796" priority="20" stopIfTrue="1" operator="greaterThan">
      <formula>10</formula>
    </cfRule>
  </conditionalFormatting>
  <conditionalFormatting sqref="J42:M59 J64:M65">
    <cfRule type="cellIs" dxfId="795" priority="13" stopIfTrue="1" operator="greaterThan">
      <formula>10</formula>
    </cfRule>
    <cfRule type="cellIs" dxfId="794" priority="14" stopIfTrue="1" operator="greaterThan">
      <formula>10</formula>
    </cfRule>
    <cfRule type="cellIs" dxfId="793" priority="15" stopIfTrue="1" operator="greaterThan">
      <formula>10</formula>
    </cfRule>
    <cfRule type="cellIs" dxfId="792" priority="16" stopIfTrue="1" operator="greaterThan">
      <formula>10</formula>
    </cfRule>
  </conditionalFormatting>
  <conditionalFormatting sqref="J60:M61">
    <cfRule type="cellIs" dxfId="791" priority="7" stopIfTrue="1" operator="greaterThan">
      <formula>10</formula>
    </cfRule>
    <cfRule type="cellIs" dxfId="790" priority="8" stopIfTrue="1" operator="greaterThan">
      <formula>10</formula>
    </cfRule>
    <cfRule type="cellIs" dxfId="789" priority="9" stopIfTrue="1" operator="greaterThan">
      <formula>10</formula>
    </cfRule>
    <cfRule type="cellIs" dxfId="788" priority="10" stopIfTrue="1" operator="greaterThan">
      <formula>10</formula>
    </cfRule>
  </conditionalFormatting>
  <conditionalFormatting sqref="C60:C61">
    <cfRule type="duplicateValues" dxfId="787" priority="11" stopIfTrue="1"/>
    <cfRule type="duplicateValues" dxfId="786" priority="12" stopIfTrue="1"/>
  </conditionalFormatting>
  <conditionalFormatting sqref="J62:M63">
    <cfRule type="cellIs" dxfId="785" priority="1" stopIfTrue="1" operator="greaterThan">
      <formula>10</formula>
    </cfRule>
    <cfRule type="cellIs" dxfId="784" priority="2" stopIfTrue="1" operator="greaterThan">
      <formula>10</formula>
    </cfRule>
    <cfRule type="cellIs" dxfId="783" priority="3" stopIfTrue="1" operator="greaterThan">
      <formula>10</formula>
    </cfRule>
    <cfRule type="cellIs" dxfId="782" priority="4" stopIfTrue="1" operator="greaterThan">
      <formula>10</formula>
    </cfRule>
  </conditionalFormatting>
  <conditionalFormatting sqref="C62:C63">
    <cfRule type="duplicateValues" dxfId="781" priority="5" stopIfTrue="1"/>
    <cfRule type="duplicateValues" dxfId="780" priority="6" stopIfTrue="1"/>
  </conditionalFormatting>
  <conditionalFormatting sqref="C38:C59 C64:C65">
    <cfRule type="duplicateValues" dxfId="779" priority="25" stopIfTrue="1"/>
    <cfRule type="duplicateValues" dxfId="778" priority="26" stopIfTrue="1"/>
  </conditionalFormatting>
  <dataValidations count="1">
    <dataValidation type="decimal" allowBlank="1" showInputMessage="1" showErrorMessage="1" error="Sai định dạng" sqref="J10:M65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B1:O109"/>
  <sheetViews>
    <sheetView topLeftCell="A65" workbookViewId="0">
      <selection activeCell="S89" sqref="S89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2" customWidth="1"/>
    <col min="4" max="4" width="18" style="34" customWidth="1"/>
    <col min="5" max="5" width="11.375" style="34" customWidth="1"/>
    <col min="6" max="6" width="13.625" style="1" customWidth="1"/>
    <col min="7" max="9" width="13.625" style="1" hidden="1" customWidth="1"/>
    <col min="10" max="12" width="4.375" style="1" customWidth="1"/>
    <col min="13" max="13" width="4.25" style="1" customWidth="1"/>
    <col min="14" max="14" width="18.75" style="1" customWidth="1"/>
    <col min="15" max="15" width="9" style="52"/>
    <col min="16" max="16384" width="9" style="1"/>
  </cols>
  <sheetData>
    <row r="1" spans="2:15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5" ht="15.75" customHeight="1">
      <c r="B2" s="86" t="s">
        <v>14</v>
      </c>
      <c r="C2" s="86"/>
      <c r="D2" s="90" t="s">
        <v>349</v>
      </c>
      <c r="E2" s="90"/>
      <c r="F2" s="26"/>
      <c r="G2" s="26"/>
      <c r="H2" s="26"/>
      <c r="I2" s="26"/>
      <c r="J2" s="85"/>
      <c r="K2" s="85"/>
      <c r="L2" s="85"/>
      <c r="M2" s="85"/>
      <c r="N2" s="85"/>
    </row>
    <row r="3" spans="2:15">
      <c r="B3" s="88" t="s">
        <v>15</v>
      </c>
      <c r="C3" s="88"/>
      <c r="D3" s="91" t="s">
        <v>2833</v>
      </c>
      <c r="E3" s="91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5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BAS1224_16</v>
      </c>
    </row>
    <row r="5" spans="2:15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40"/>
    </row>
    <row r="6" spans="2:15" ht="5.25" customHeight="1">
      <c r="B6" s="4"/>
      <c r="C6" s="8"/>
      <c r="D6" s="35"/>
      <c r="E6" s="35"/>
      <c r="F6" s="4"/>
      <c r="G6" s="4"/>
      <c r="H6" s="4"/>
      <c r="I6" s="4"/>
      <c r="J6" s="4"/>
      <c r="K6" s="4"/>
      <c r="L6" s="4"/>
      <c r="M6" s="4"/>
      <c r="N6" s="2"/>
    </row>
    <row r="7" spans="2:15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5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  <c r="O8" s="1"/>
    </row>
    <row r="9" spans="2:15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0">
        <v>0.1</v>
      </c>
      <c r="K9" s="50">
        <v>0.1</v>
      </c>
      <c r="L9" s="50">
        <v>0.2</v>
      </c>
      <c r="M9" s="5"/>
      <c r="N9" s="61"/>
    </row>
    <row r="10" spans="2:15" ht="24.95" customHeight="1">
      <c r="B10" s="13">
        <v>1</v>
      </c>
      <c r="C10" s="21" t="s">
        <v>2278</v>
      </c>
      <c r="D10" s="36" t="s">
        <v>184</v>
      </c>
      <c r="E10" s="37" t="s">
        <v>26</v>
      </c>
      <c r="F10" s="19" t="s">
        <v>405</v>
      </c>
      <c r="G10" s="19" t="s">
        <v>397</v>
      </c>
      <c r="H10" s="19">
        <v>4</v>
      </c>
      <c r="I10" s="19" t="s">
        <v>2279</v>
      </c>
      <c r="J10" s="17">
        <v>9.5</v>
      </c>
      <c r="K10" s="17">
        <v>10</v>
      </c>
      <c r="L10" s="17">
        <v>10</v>
      </c>
      <c r="M10" s="17" t="s">
        <v>13</v>
      </c>
      <c r="N10" s="16"/>
    </row>
    <row r="11" spans="2:15" ht="24.95" customHeight="1">
      <c r="B11" s="15">
        <v>2</v>
      </c>
      <c r="C11" s="22" t="s">
        <v>2280</v>
      </c>
      <c r="D11" s="38" t="s">
        <v>2281</v>
      </c>
      <c r="E11" s="39" t="s">
        <v>27</v>
      </c>
      <c r="F11" s="20" t="s">
        <v>468</v>
      </c>
      <c r="G11" s="20" t="s">
        <v>397</v>
      </c>
      <c r="H11" s="20">
        <v>4</v>
      </c>
      <c r="I11" s="20" t="s">
        <v>2279</v>
      </c>
      <c r="J11" s="18">
        <v>8</v>
      </c>
      <c r="K11" s="18">
        <v>10</v>
      </c>
      <c r="L11" s="18">
        <v>8</v>
      </c>
      <c r="M11" s="18" t="s">
        <v>13</v>
      </c>
      <c r="N11" s="16"/>
    </row>
    <row r="12" spans="2:15" ht="24.95" customHeight="1">
      <c r="B12" s="15">
        <v>3</v>
      </c>
      <c r="C12" s="22" t="s">
        <v>2282</v>
      </c>
      <c r="D12" s="38" t="s">
        <v>32</v>
      </c>
      <c r="E12" s="39" t="s">
        <v>27</v>
      </c>
      <c r="F12" s="20" t="s">
        <v>756</v>
      </c>
      <c r="G12" s="20" t="s">
        <v>397</v>
      </c>
      <c r="H12" s="20">
        <v>4</v>
      </c>
      <c r="I12" s="20" t="s">
        <v>2279</v>
      </c>
      <c r="J12" s="18">
        <v>10</v>
      </c>
      <c r="K12" s="18">
        <v>10</v>
      </c>
      <c r="L12" s="18">
        <v>10</v>
      </c>
      <c r="M12" s="18" t="s">
        <v>13</v>
      </c>
      <c r="N12" s="16"/>
    </row>
    <row r="13" spans="2:15" ht="24.95" customHeight="1">
      <c r="B13" s="15">
        <v>4</v>
      </c>
      <c r="C13" s="22" t="s">
        <v>2283</v>
      </c>
      <c r="D13" s="38" t="s">
        <v>187</v>
      </c>
      <c r="E13" s="39" t="s">
        <v>27</v>
      </c>
      <c r="F13" s="20" t="s">
        <v>412</v>
      </c>
      <c r="G13" s="20" t="s">
        <v>397</v>
      </c>
      <c r="H13" s="20">
        <v>4</v>
      </c>
      <c r="I13" s="20" t="s">
        <v>2279</v>
      </c>
      <c r="J13" s="18">
        <v>9.5</v>
      </c>
      <c r="K13" s="18">
        <v>10</v>
      </c>
      <c r="L13" s="18">
        <v>8.5</v>
      </c>
      <c r="M13" s="18" t="s">
        <v>13</v>
      </c>
      <c r="N13" s="16"/>
    </row>
    <row r="14" spans="2:15" ht="24.95" customHeight="1">
      <c r="B14" s="15">
        <v>5</v>
      </c>
      <c r="C14" s="22" t="s">
        <v>2284</v>
      </c>
      <c r="D14" s="38" t="s">
        <v>193</v>
      </c>
      <c r="E14" s="39" t="s">
        <v>27</v>
      </c>
      <c r="F14" s="20" t="s">
        <v>43</v>
      </c>
      <c r="G14" s="20" t="s">
        <v>397</v>
      </c>
      <c r="H14" s="20">
        <v>4</v>
      </c>
      <c r="I14" s="20" t="s">
        <v>2279</v>
      </c>
      <c r="J14" s="18">
        <v>9</v>
      </c>
      <c r="K14" s="18">
        <v>10</v>
      </c>
      <c r="L14" s="18">
        <v>7</v>
      </c>
      <c r="M14" s="18" t="s">
        <v>13</v>
      </c>
      <c r="N14" s="16"/>
    </row>
    <row r="15" spans="2:15" ht="24.95" customHeight="1">
      <c r="B15" s="15">
        <v>6</v>
      </c>
      <c r="C15" s="22" t="s">
        <v>2285</v>
      </c>
      <c r="D15" s="38" t="s">
        <v>29</v>
      </c>
      <c r="E15" s="39" t="s">
        <v>27</v>
      </c>
      <c r="F15" s="20" t="s">
        <v>432</v>
      </c>
      <c r="G15" s="20" t="s">
        <v>397</v>
      </c>
      <c r="H15" s="20">
        <v>4</v>
      </c>
      <c r="I15" s="20" t="s">
        <v>2279</v>
      </c>
      <c r="J15" s="18">
        <v>9.5</v>
      </c>
      <c r="K15" s="18">
        <v>10</v>
      </c>
      <c r="L15" s="18">
        <v>6.5</v>
      </c>
      <c r="M15" s="18" t="s">
        <v>13</v>
      </c>
      <c r="N15" s="16"/>
    </row>
    <row r="16" spans="2:15" ht="24.95" customHeight="1">
      <c r="B16" s="15">
        <v>7</v>
      </c>
      <c r="C16" s="22" t="s">
        <v>2286</v>
      </c>
      <c r="D16" s="38" t="s">
        <v>812</v>
      </c>
      <c r="E16" s="39" t="s">
        <v>1217</v>
      </c>
      <c r="F16" s="20" t="s">
        <v>414</v>
      </c>
      <c r="G16" s="20" t="s">
        <v>397</v>
      </c>
      <c r="H16" s="20">
        <v>4</v>
      </c>
      <c r="I16" s="20" t="s">
        <v>2279</v>
      </c>
      <c r="J16" s="18">
        <v>7</v>
      </c>
      <c r="K16" s="18">
        <v>10</v>
      </c>
      <c r="L16" s="18">
        <v>7.5</v>
      </c>
      <c r="M16" s="18" t="s">
        <v>13</v>
      </c>
      <c r="N16" s="16"/>
    </row>
    <row r="17" spans="2:15" ht="24.95" customHeight="1">
      <c r="B17" s="15">
        <v>8</v>
      </c>
      <c r="C17" s="22" t="s">
        <v>2287</v>
      </c>
      <c r="D17" s="38" t="s">
        <v>2288</v>
      </c>
      <c r="E17" s="39" t="s">
        <v>178</v>
      </c>
      <c r="F17" s="20" t="s">
        <v>405</v>
      </c>
      <c r="G17" s="20" t="s">
        <v>397</v>
      </c>
      <c r="H17" s="20">
        <v>4</v>
      </c>
      <c r="I17" s="20" t="s">
        <v>2279</v>
      </c>
      <c r="J17" s="18">
        <v>9.5</v>
      </c>
      <c r="K17" s="18">
        <v>10</v>
      </c>
      <c r="L17" s="18">
        <v>10</v>
      </c>
      <c r="M17" s="18" t="s">
        <v>13</v>
      </c>
      <c r="N17" s="16"/>
    </row>
    <row r="18" spans="2:15" ht="24.95" customHeight="1">
      <c r="B18" s="15">
        <v>9</v>
      </c>
      <c r="C18" s="22" t="s">
        <v>2289</v>
      </c>
      <c r="D18" s="38" t="s">
        <v>2290</v>
      </c>
      <c r="E18" s="39" t="s">
        <v>180</v>
      </c>
      <c r="F18" s="20" t="s">
        <v>444</v>
      </c>
      <c r="G18" s="20" t="s">
        <v>397</v>
      </c>
      <c r="H18" s="20">
        <v>4</v>
      </c>
      <c r="I18" s="20" t="s">
        <v>2279</v>
      </c>
      <c r="J18" s="18">
        <v>10</v>
      </c>
      <c r="K18" s="18">
        <v>10</v>
      </c>
      <c r="L18" s="18">
        <v>10</v>
      </c>
      <c r="M18" s="18" t="s">
        <v>13</v>
      </c>
      <c r="N18" s="16" t="s">
        <v>2852</v>
      </c>
    </row>
    <row r="19" spans="2:15" ht="24.95" customHeight="1">
      <c r="B19" s="15">
        <v>10</v>
      </c>
      <c r="C19" s="22" t="s">
        <v>2291</v>
      </c>
      <c r="D19" s="38" t="s">
        <v>2292</v>
      </c>
      <c r="E19" s="39" t="s">
        <v>180</v>
      </c>
      <c r="F19" s="20" t="s">
        <v>420</v>
      </c>
      <c r="G19" s="20" t="s">
        <v>397</v>
      </c>
      <c r="H19" s="20">
        <v>4</v>
      </c>
      <c r="I19" s="20" t="s">
        <v>2279</v>
      </c>
      <c r="J19" s="18">
        <v>10</v>
      </c>
      <c r="K19" s="18">
        <v>10</v>
      </c>
      <c r="L19" s="18">
        <v>9.5</v>
      </c>
      <c r="M19" s="18" t="s">
        <v>13</v>
      </c>
      <c r="N19" s="16" t="str">
        <f t="shared" ref="N19:N35" si="0">+IF(OR($J19=0,$K19=0,$L19=0,$M19=0),"Không đủ ĐKDT","")</f>
        <v/>
      </c>
    </row>
    <row r="20" spans="2:15" ht="24.95" customHeight="1">
      <c r="B20" s="15">
        <v>11</v>
      </c>
      <c r="C20" s="22" t="s">
        <v>2293</v>
      </c>
      <c r="D20" s="38" t="s">
        <v>2294</v>
      </c>
      <c r="E20" s="39" t="s">
        <v>180</v>
      </c>
      <c r="F20" s="20" t="s">
        <v>468</v>
      </c>
      <c r="G20" s="20" t="s">
        <v>397</v>
      </c>
      <c r="H20" s="20">
        <v>4</v>
      </c>
      <c r="I20" s="20" t="s">
        <v>2279</v>
      </c>
      <c r="J20" s="18">
        <v>9</v>
      </c>
      <c r="K20" s="18">
        <v>7</v>
      </c>
      <c r="L20" s="18">
        <v>7</v>
      </c>
      <c r="M20" s="18" t="s">
        <v>13</v>
      </c>
      <c r="N20" s="16"/>
    </row>
    <row r="21" spans="2:15" ht="24.95" customHeight="1">
      <c r="B21" s="15">
        <v>12</v>
      </c>
      <c r="C21" s="22" t="s">
        <v>2295</v>
      </c>
      <c r="D21" s="38" t="s">
        <v>2296</v>
      </c>
      <c r="E21" s="39" t="s">
        <v>305</v>
      </c>
      <c r="F21" s="20" t="s">
        <v>444</v>
      </c>
      <c r="G21" s="20" t="s">
        <v>397</v>
      </c>
      <c r="H21" s="20">
        <v>4</v>
      </c>
      <c r="I21" s="20" t="s">
        <v>2279</v>
      </c>
      <c r="J21" s="18">
        <v>10</v>
      </c>
      <c r="K21" s="18">
        <v>10</v>
      </c>
      <c r="L21" s="18">
        <v>10</v>
      </c>
      <c r="M21" s="18" t="s">
        <v>13</v>
      </c>
      <c r="N21" s="16" t="str">
        <f t="shared" si="0"/>
        <v/>
      </c>
    </row>
    <row r="22" spans="2:15" ht="24.95" customHeight="1">
      <c r="B22" s="15">
        <v>13</v>
      </c>
      <c r="C22" s="22" t="s">
        <v>2297</v>
      </c>
      <c r="D22" s="38" t="s">
        <v>2298</v>
      </c>
      <c r="E22" s="39" t="s">
        <v>305</v>
      </c>
      <c r="F22" s="20" t="s">
        <v>82</v>
      </c>
      <c r="G22" s="20" t="s">
        <v>397</v>
      </c>
      <c r="H22" s="20">
        <v>4</v>
      </c>
      <c r="I22" s="20" t="s">
        <v>2279</v>
      </c>
      <c r="J22" s="18">
        <v>9.5</v>
      </c>
      <c r="K22" s="18">
        <v>9.5</v>
      </c>
      <c r="L22" s="18">
        <v>10</v>
      </c>
      <c r="M22" s="18" t="s">
        <v>13</v>
      </c>
      <c r="N22" s="16"/>
    </row>
    <row r="23" spans="2:15" ht="24.95" customHeight="1">
      <c r="B23" s="15">
        <v>14</v>
      </c>
      <c r="C23" s="22" t="s">
        <v>2299</v>
      </c>
      <c r="D23" s="38" t="s">
        <v>2300</v>
      </c>
      <c r="E23" s="39" t="s">
        <v>136</v>
      </c>
      <c r="F23" s="20" t="s">
        <v>43</v>
      </c>
      <c r="G23" s="20" t="s">
        <v>397</v>
      </c>
      <c r="H23" s="20">
        <v>4</v>
      </c>
      <c r="I23" s="20" t="s">
        <v>2279</v>
      </c>
      <c r="J23" s="18">
        <v>9.5</v>
      </c>
      <c r="K23" s="18">
        <v>10</v>
      </c>
      <c r="L23" s="18">
        <v>9.5</v>
      </c>
      <c r="M23" s="18" t="s">
        <v>13</v>
      </c>
      <c r="N23" s="16"/>
    </row>
    <row r="24" spans="2:15" ht="24.95" customHeight="1">
      <c r="B24" s="15">
        <v>15</v>
      </c>
      <c r="C24" s="22" t="s">
        <v>2301</v>
      </c>
      <c r="D24" s="38" t="s">
        <v>2302</v>
      </c>
      <c r="E24" s="39" t="s">
        <v>136</v>
      </c>
      <c r="F24" s="20" t="s">
        <v>692</v>
      </c>
      <c r="G24" s="20" t="s">
        <v>397</v>
      </c>
      <c r="H24" s="20">
        <v>4</v>
      </c>
      <c r="I24" s="20" t="s">
        <v>2279</v>
      </c>
      <c r="J24" s="18">
        <v>10</v>
      </c>
      <c r="K24" s="18">
        <v>10</v>
      </c>
      <c r="L24" s="18">
        <v>10</v>
      </c>
      <c r="M24" s="18" t="s">
        <v>13</v>
      </c>
      <c r="N24" s="16" t="s">
        <v>2841</v>
      </c>
    </row>
    <row r="25" spans="2:15" ht="24.95" customHeight="1">
      <c r="B25" s="15">
        <v>16</v>
      </c>
      <c r="C25" s="22" t="s">
        <v>2303</v>
      </c>
      <c r="D25" s="38" t="s">
        <v>68</v>
      </c>
      <c r="E25" s="39" t="s">
        <v>136</v>
      </c>
      <c r="F25" s="20" t="s">
        <v>692</v>
      </c>
      <c r="G25" s="20" t="s">
        <v>397</v>
      </c>
      <c r="H25" s="20">
        <v>4</v>
      </c>
      <c r="I25" s="20" t="s">
        <v>2279</v>
      </c>
      <c r="J25" s="18">
        <v>10</v>
      </c>
      <c r="K25" s="18">
        <v>10</v>
      </c>
      <c r="L25" s="18">
        <v>8</v>
      </c>
      <c r="M25" s="18" t="s">
        <v>13</v>
      </c>
      <c r="N25" s="16" t="str">
        <f t="shared" si="0"/>
        <v/>
      </c>
    </row>
    <row r="26" spans="2:15" ht="24.95" customHeight="1">
      <c r="B26" s="15">
        <v>17</v>
      </c>
      <c r="C26" s="22" t="s">
        <v>2304</v>
      </c>
      <c r="D26" s="38" t="s">
        <v>2305</v>
      </c>
      <c r="E26" s="39" t="s">
        <v>39</v>
      </c>
      <c r="F26" s="20" t="s">
        <v>694</v>
      </c>
      <c r="G26" s="20" t="s">
        <v>397</v>
      </c>
      <c r="H26" s="20">
        <v>4</v>
      </c>
      <c r="I26" s="20" t="s">
        <v>2279</v>
      </c>
      <c r="J26" s="18">
        <v>9.5</v>
      </c>
      <c r="K26" s="18">
        <v>9.5</v>
      </c>
      <c r="L26" s="18">
        <v>6.5</v>
      </c>
      <c r="M26" s="18" t="s">
        <v>13</v>
      </c>
      <c r="N26" s="16"/>
    </row>
    <row r="27" spans="2:15" ht="24.95" customHeight="1">
      <c r="B27" s="15">
        <v>18</v>
      </c>
      <c r="C27" s="22" t="s">
        <v>2306</v>
      </c>
      <c r="D27" s="38" t="s">
        <v>184</v>
      </c>
      <c r="E27" s="39" t="s">
        <v>39</v>
      </c>
      <c r="F27" s="20" t="s">
        <v>38</v>
      </c>
      <c r="G27" s="20" t="s">
        <v>397</v>
      </c>
      <c r="H27" s="20">
        <v>4</v>
      </c>
      <c r="I27" s="20" t="s">
        <v>2279</v>
      </c>
      <c r="J27" s="18">
        <v>10</v>
      </c>
      <c r="K27" s="18">
        <v>8</v>
      </c>
      <c r="L27" s="18">
        <v>9.5</v>
      </c>
      <c r="M27" s="18" t="s">
        <v>13</v>
      </c>
      <c r="N27" s="16" t="str">
        <f t="shared" si="0"/>
        <v/>
      </c>
    </row>
    <row r="28" spans="2:15" ht="24.95" customHeight="1">
      <c r="B28" s="15">
        <v>19</v>
      </c>
      <c r="C28" s="22" t="s">
        <v>2307</v>
      </c>
      <c r="D28" s="38" t="s">
        <v>2308</v>
      </c>
      <c r="E28" s="39" t="s">
        <v>2309</v>
      </c>
      <c r="F28" s="20" t="s">
        <v>52</v>
      </c>
      <c r="G28" s="20" t="s">
        <v>397</v>
      </c>
      <c r="H28" s="20">
        <v>4</v>
      </c>
      <c r="I28" s="20" t="s">
        <v>2279</v>
      </c>
      <c r="J28" s="18">
        <v>10</v>
      </c>
      <c r="K28" s="18">
        <v>10</v>
      </c>
      <c r="L28" s="18">
        <v>9</v>
      </c>
      <c r="M28" s="18" t="s">
        <v>13</v>
      </c>
      <c r="N28" s="16" t="str">
        <f t="shared" si="0"/>
        <v/>
      </c>
    </row>
    <row r="29" spans="2:15" s="49" customFormat="1" ht="24.95" customHeight="1">
      <c r="B29" s="42">
        <v>20</v>
      </c>
      <c r="C29" s="43" t="s">
        <v>2310</v>
      </c>
      <c r="D29" s="44" t="s">
        <v>184</v>
      </c>
      <c r="E29" s="45" t="s">
        <v>44</v>
      </c>
      <c r="F29" s="46" t="s">
        <v>2311</v>
      </c>
      <c r="G29" s="46" t="s">
        <v>397</v>
      </c>
      <c r="H29" s="46">
        <v>4</v>
      </c>
      <c r="I29" s="46" t="s">
        <v>2279</v>
      </c>
      <c r="J29" s="47">
        <v>9.5</v>
      </c>
      <c r="K29" s="47">
        <v>9.5</v>
      </c>
      <c r="L29" s="47">
        <v>7.5</v>
      </c>
      <c r="M29" s="47" t="s">
        <v>13</v>
      </c>
      <c r="N29" s="48"/>
      <c r="O29" s="54"/>
    </row>
    <row r="30" spans="2:15" s="49" customFormat="1" ht="24.95" customHeight="1">
      <c r="B30" s="42">
        <v>21</v>
      </c>
      <c r="C30" s="43" t="s">
        <v>2312</v>
      </c>
      <c r="D30" s="44" t="s">
        <v>189</v>
      </c>
      <c r="E30" s="45" t="s">
        <v>44</v>
      </c>
      <c r="F30" s="46" t="s">
        <v>2313</v>
      </c>
      <c r="G30" s="46" t="s">
        <v>397</v>
      </c>
      <c r="H30" s="46">
        <v>4</v>
      </c>
      <c r="I30" s="46" t="s">
        <v>2279</v>
      </c>
      <c r="J30" s="47">
        <v>8</v>
      </c>
      <c r="K30" s="47">
        <v>8</v>
      </c>
      <c r="L30" s="47">
        <v>8</v>
      </c>
      <c r="M30" s="47" t="s">
        <v>13</v>
      </c>
      <c r="N30" s="48"/>
      <c r="O30" s="54"/>
    </row>
    <row r="31" spans="2:15" ht="24.95" customHeight="1">
      <c r="B31" s="15">
        <v>22</v>
      </c>
      <c r="C31" s="22" t="s">
        <v>2314</v>
      </c>
      <c r="D31" s="38" t="s">
        <v>357</v>
      </c>
      <c r="E31" s="39" t="s">
        <v>188</v>
      </c>
      <c r="F31" s="20" t="s">
        <v>444</v>
      </c>
      <c r="G31" s="20" t="s">
        <v>397</v>
      </c>
      <c r="H31" s="20">
        <v>4</v>
      </c>
      <c r="I31" s="20" t="s">
        <v>2279</v>
      </c>
      <c r="J31" s="18">
        <v>10</v>
      </c>
      <c r="K31" s="18">
        <v>9.5</v>
      </c>
      <c r="L31" s="18">
        <v>10</v>
      </c>
      <c r="M31" s="18" t="s">
        <v>13</v>
      </c>
      <c r="N31" s="16" t="str">
        <f t="shared" si="0"/>
        <v/>
      </c>
    </row>
    <row r="32" spans="2:15" ht="24.95" customHeight="1">
      <c r="B32" s="15">
        <v>23</v>
      </c>
      <c r="C32" s="22" t="s">
        <v>2315</v>
      </c>
      <c r="D32" s="38" t="s">
        <v>287</v>
      </c>
      <c r="E32" s="39" t="s">
        <v>188</v>
      </c>
      <c r="F32" s="20" t="s">
        <v>701</v>
      </c>
      <c r="G32" s="20" t="s">
        <v>397</v>
      </c>
      <c r="H32" s="20">
        <v>4</v>
      </c>
      <c r="I32" s="20" t="s">
        <v>2279</v>
      </c>
      <c r="J32" s="18">
        <v>9.5</v>
      </c>
      <c r="K32" s="18">
        <v>7.5</v>
      </c>
      <c r="L32" s="18">
        <v>7.5</v>
      </c>
      <c r="M32" s="18" t="s">
        <v>13</v>
      </c>
      <c r="N32" s="16"/>
    </row>
    <row r="33" spans="2:15" ht="24.95" customHeight="1">
      <c r="B33" s="15">
        <v>24</v>
      </c>
      <c r="C33" s="22" t="s">
        <v>2316</v>
      </c>
      <c r="D33" s="38" t="s">
        <v>2317</v>
      </c>
      <c r="E33" s="39" t="s">
        <v>188</v>
      </c>
      <c r="F33" s="20" t="s">
        <v>30</v>
      </c>
      <c r="G33" s="20" t="s">
        <v>397</v>
      </c>
      <c r="H33" s="20">
        <v>4</v>
      </c>
      <c r="I33" s="20" t="s">
        <v>2279</v>
      </c>
      <c r="J33" s="18">
        <v>10</v>
      </c>
      <c r="K33" s="18">
        <v>10</v>
      </c>
      <c r="L33" s="18">
        <v>10</v>
      </c>
      <c r="M33" s="18" t="s">
        <v>13</v>
      </c>
      <c r="N33" s="16" t="s">
        <v>2857</v>
      </c>
    </row>
    <row r="34" spans="2:15" ht="24.95" customHeight="1">
      <c r="B34" s="15">
        <v>25</v>
      </c>
      <c r="C34" s="22" t="s">
        <v>2318</v>
      </c>
      <c r="D34" s="38" t="s">
        <v>127</v>
      </c>
      <c r="E34" s="39" t="s">
        <v>250</v>
      </c>
      <c r="F34" s="20" t="s">
        <v>412</v>
      </c>
      <c r="G34" s="20" t="s">
        <v>397</v>
      </c>
      <c r="H34" s="20">
        <v>4</v>
      </c>
      <c r="I34" s="20" t="s">
        <v>2279</v>
      </c>
      <c r="J34" s="18">
        <v>10</v>
      </c>
      <c r="K34" s="18">
        <v>10</v>
      </c>
      <c r="L34" s="18">
        <v>10</v>
      </c>
      <c r="M34" s="18" t="s">
        <v>13</v>
      </c>
      <c r="N34" s="16" t="str">
        <f t="shared" si="0"/>
        <v/>
      </c>
    </row>
    <row r="35" spans="2:15" ht="24.95" customHeight="1">
      <c r="B35" s="15">
        <v>26</v>
      </c>
      <c r="C35" s="22" t="s">
        <v>2319</v>
      </c>
      <c r="D35" s="38" t="s">
        <v>175</v>
      </c>
      <c r="E35" s="39" t="s">
        <v>49</v>
      </c>
      <c r="F35" s="20" t="s">
        <v>410</v>
      </c>
      <c r="G35" s="20" t="s">
        <v>397</v>
      </c>
      <c r="H35" s="20">
        <v>4</v>
      </c>
      <c r="I35" s="20" t="s">
        <v>2279</v>
      </c>
      <c r="J35" s="18">
        <v>10</v>
      </c>
      <c r="K35" s="18">
        <v>9.5</v>
      </c>
      <c r="L35" s="18">
        <v>8.5</v>
      </c>
      <c r="M35" s="18" t="s">
        <v>13</v>
      </c>
      <c r="N35" s="16" t="str">
        <f t="shared" si="0"/>
        <v/>
      </c>
    </row>
    <row r="36" spans="2:15" ht="24.95" customHeight="1">
      <c r="B36" s="15">
        <v>27</v>
      </c>
      <c r="C36" s="22" t="s">
        <v>2320</v>
      </c>
      <c r="D36" s="38" t="s">
        <v>2321</v>
      </c>
      <c r="E36" s="39" t="s">
        <v>341</v>
      </c>
      <c r="F36" s="20" t="s">
        <v>701</v>
      </c>
      <c r="G36" s="20" t="s">
        <v>397</v>
      </c>
      <c r="H36" s="20">
        <v>4</v>
      </c>
      <c r="I36" s="20" t="s">
        <v>2279</v>
      </c>
      <c r="J36" s="18">
        <v>9.5</v>
      </c>
      <c r="K36" s="18">
        <v>9.5</v>
      </c>
      <c r="L36" s="18">
        <v>8</v>
      </c>
      <c r="M36" s="18" t="s">
        <v>13</v>
      </c>
      <c r="N36" s="16"/>
    </row>
    <row r="37" spans="2:15" ht="24.95" customHeight="1">
      <c r="B37" s="15">
        <v>28</v>
      </c>
      <c r="C37" s="22" t="s">
        <v>2322</v>
      </c>
      <c r="D37" s="38" t="s">
        <v>191</v>
      </c>
      <c r="E37" s="39" t="s">
        <v>253</v>
      </c>
      <c r="F37" s="20" t="s">
        <v>683</v>
      </c>
      <c r="G37" s="20" t="s">
        <v>397</v>
      </c>
      <c r="H37" s="20">
        <v>4</v>
      </c>
      <c r="I37" s="20" t="s">
        <v>2279</v>
      </c>
      <c r="J37" s="18">
        <v>10</v>
      </c>
      <c r="K37" s="18">
        <v>10</v>
      </c>
      <c r="L37" s="18">
        <v>10</v>
      </c>
      <c r="M37" s="18" t="s">
        <v>13</v>
      </c>
      <c r="N37" s="16"/>
    </row>
    <row r="38" spans="2:15" ht="24.95" customHeight="1">
      <c r="B38" s="15">
        <v>29</v>
      </c>
      <c r="C38" s="22" t="s">
        <v>2323</v>
      </c>
      <c r="D38" s="38" t="s">
        <v>760</v>
      </c>
      <c r="E38" s="39" t="s">
        <v>53</v>
      </c>
      <c r="F38" s="20" t="s">
        <v>720</v>
      </c>
      <c r="G38" s="20" t="s">
        <v>397</v>
      </c>
      <c r="H38" s="20">
        <v>4</v>
      </c>
      <c r="I38" s="20" t="s">
        <v>2279</v>
      </c>
      <c r="J38" s="18">
        <v>9.5</v>
      </c>
      <c r="K38" s="18">
        <v>10</v>
      </c>
      <c r="L38" s="18">
        <v>9.5</v>
      </c>
      <c r="M38" s="18" t="s">
        <v>13</v>
      </c>
      <c r="N38" s="16"/>
    </row>
    <row r="39" spans="2:15" ht="24.95" customHeight="1">
      <c r="B39" s="15">
        <v>30</v>
      </c>
      <c r="C39" s="21" t="s">
        <v>2324</v>
      </c>
      <c r="D39" s="36" t="s">
        <v>68</v>
      </c>
      <c r="E39" s="37" t="s">
        <v>53</v>
      </c>
      <c r="F39" s="19" t="s">
        <v>468</v>
      </c>
      <c r="G39" s="19" t="s">
        <v>397</v>
      </c>
      <c r="H39" s="19">
        <v>4</v>
      </c>
      <c r="I39" s="19" t="s">
        <v>2279</v>
      </c>
      <c r="J39" s="17">
        <v>10</v>
      </c>
      <c r="K39" s="17">
        <v>9</v>
      </c>
      <c r="L39" s="17">
        <v>9.5</v>
      </c>
      <c r="M39" s="17" t="s">
        <v>13</v>
      </c>
      <c r="N39" s="14" t="str">
        <f>+IF(OR($J39=0,$K39=0,$L39=0,$M39=0),"Không đủ ĐKDT","")</f>
        <v/>
      </c>
    </row>
    <row r="40" spans="2:15" ht="24.95" customHeight="1">
      <c r="B40" s="15">
        <v>31</v>
      </c>
      <c r="C40" s="22" t="s">
        <v>2325</v>
      </c>
      <c r="D40" s="38" t="s">
        <v>112</v>
      </c>
      <c r="E40" s="39" t="s">
        <v>291</v>
      </c>
      <c r="F40" s="20" t="s">
        <v>117</v>
      </c>
      <c r="G40" s="20" t="s">
        <v>397</v>
      </c>
      <c r="H40" s="20">
        <v>4</v>
      </c>
      <c r="I40" s="20" t="s">
        <v>2279</v>
      </c>
      <c r="J40" s="18">
        <v>10</v>
      </c>
      <c r="K40" s="18">
        <v>10</v>
      </c>
      <c r="L40" s="18">
        <v>9.5</v>
      </c>
      <c r="M40" s="18" t="s">
        <v>13</v>
      </c>
      <c r="N40" s="16" t="str">
        <f>+IF(OR($J40=0,$K40=0,$L40=0,$M40=0),"Không đủ ĐKDT","")</f>
        <v/>
      </c>
    </row>
    <row r="41" spans="2:15" ht="24.95" customHeight="1">
      <c r="B41" s="15">
        <v>32</v>
      </c>
      <c r="C41" s="22" t="s">
        <v>2326</v>
      </c>
      <c r="D41" s="38" t="s">
        <v>197</v>
      </c>
      <c r="E41" s="39" t="s">
        <v>1636</v>
      </c>
      <c r="F41" s="20" t="s">
        <v>690</v>
      </c>
      <c r="G41" s="20" t="s">
        <v>397</v>
      </c>
      <c r="H41" s="20">
        <v>4</v>
      </c>
      <c r="I41" s="20" t="s">
        <v>2279</v>
      </c>
      <c r="J41" s="18">
        <v>9.5</v>
      </c>
      <c r="K41" s="18">
        <v>10</v>
      </c>
      <c r="L41" s="18">
        <v>10</v>
      </c>
      <c r="M41" s="18" t="s">
        <v>13</v>
      </c>
      <c r="N41" s="16"/>
    </row>
    <row r="42" spans="2:15" ht="24.95" customHeight="1">
      <c r="B42" s="15">
        <v>33</v>
      </c>
      <c r="C42" s="22" t="s">
        <v>2327</v>
      </c>
      <c r="D42" s="38" t="s">
        <v>280</v>
      </c>
      <c r="E42" s="39" t="s">
        <v>58</v>
      </c>
      <c r="F42" s="20" t="s">
        <v>412</v>
      </c>
      <c r="G42" s="20" t="s">
        <v>397</v>
      </c>
      <c r="H42" s="20">
        <v>4</v>
      </c>
      <c r="I42" s="20" t="s">
        <v>2279</v>
      </c>
      <c r="J42" s="18">
        <v>10</v>
      </c>
      <c r="K42" s="18">
        <v>10</v>
      </c>
      <c r="L42" s="18">
        <v>7</v>
      </c>
      <c r="M42" s="18" t="s">
        <v>13</v>
      </c>
      <c r="N42" s="16" t="str">
        <f t="shared" ref="N42:N67" si="1">+IF(OR($J42=0,$K42=0,$L42=0,$M42=0),"Không đủ ĐKDT","")</f>
        <v/>
      </c>
    </row>
    <row r="43" spans="2:15" ht="24.95" customHeight="1">
      <c r="B43" s="15">
        <v>34</v>
      </c>
      <c r="C43" s="22" t="s">
        <v>2328</v>
      </c>
      <c r="D43" s="38" t="s">
        <v>2329</v>
      </c>
      <c r="E43" s="39" t="s">
        <v>62</v>
      </c>
      <c r="F43" s="20" t="s">
        <v>43</v>
      </c>
      <c r="G43" s="20" t="s">
        <v>397</v>
      </c>
      <c r="H43" s="20">
        <v>4</v>
      </c>
      <c r="I43" s="20" t="s">
        <v>2279</v>
      </c>
      <c r="J43" s="18">
        <v>10</v>
      </c>
      <c r="K43" s="18">
        <v>10</v>
      </c>
      <c r="L43" s="18">
        <v>9</v>
      </c>
      <c r="M43" s="18" t="s">
        <v>13</v>
      </c>
      <c r="N43" s="16" t="str">
        <f t="shared" si="1"/>
        <v/>
      </c>
    </row>
    <row r="44" spans="2:15" ht="24.95" customHeight="1">
      <c r="B44" s="15">
        <v>35</v>
      </c>
      <c r="C44" s="22" t="s">
        <v>2330</v>
      </c>
      <c r="D44" s="38" t="s">
        <v>329</v>
      </c>
      <c r="E44" s="39" t="s">
        <v>62</v>
      </c>
      <c r="F44" s="20" t="s">
        <v>720</v>
      </c>
      <c r="G44" s="20" t="s">
        <v>397</v>
      </c>
      <c r="H44" s="20">
        <v>4</v>
      </c>
      <c r="I44" s="20" t="s">
        <v>2279</v>
      </c>
      <c r="J44" s="18">
        <v>8.5</v>
      </c>
      <c r="K44" s="18">
        <v>9</v>
      </c>
      <c r="L44" s="18">
        <v>9</v>
      </c>
      <c r="M44" s="18" t="s">
        <v>13</v>
      </c>
      <c r="N44" s="16"/>
    </row>
    <row r="45" spans="2:15" s="49" customFormat="1" ht="24.95" customHeight="1">
      <c r="B45" s="42">
        <v>36</v>
      </c>
      <c r="C45" s="43" t="s">
        <v>2331</v>
      </c>
      <c r="D45" s="44" t="s">
        <v>189</v>
      </c>
      <c r="E45" s="45" t="s">
        <v>67</v>
      </c>
      <c r="F45" s="46" t="s">
        <v>2332</v>
      </c>
      <c r="G45" s="46" t="s">
        <v>397</v>
      </c>
      <c r="H45" s="46">
        <v>4</v>
      </c>
      <c r="I45" s="46" t="s">
        <v>2279</v>
      </c>
      <c r="J45" s="47">
        <v>9</v>
      </c>
      <c r="K45" s="47">
        <v>8.5</v>
      </c>
      <c r="L45" s="47">
        <v>7.5</v>
      </c>
      <c r="M45" s="47" t="s">
        <v>13</v>
      </c>
      <c r="N45" s="48"/>
      <c r="O45" s="54"/>
    </row>
    <row r="46" spans="2:15" ht="24.95" customHeight="1">
      <c r="B46" s="15">
        <v>37</v>
      </c>
      <c r="C46" s="22" t="s">
        <v>2333</v>
      </c>
      <c r="D46" s="38" t="s">
        <v>70</v>
      </c>
      <c r="E46" s="39" t="s">
        <v>380</v>
      </c>
      <c r="F46" s="20" t="s">
        <v>405</v>
      </c>
      <c r="G46" s="20" t="s">
        <v>397</v>
      </c>
      <c r="H46" s="20">
        <v>4</v>
      </c>
      <c r="I46" s="20" t="s">
        <v>2279</v>
      </c>
      <c r="J46" s="18">
        <v>10</v>
      </c>
      <c r="K46" s="18">
        <v>10</v>
      </c>
      <c r="L46" s="18">
        <v>10</v>
      </c>
      <c r="M46" s="18" t="s">
        <v>13</v>
      </c>
      <c r="N46" s="16"/>
    </row>
    <row r="47" spans="2:15" ht="24.95" customHeight="1">
      <c r="B47" s="15">
        <v>38</v>
      </c>
      <c r="C47" s="22" t="s">
        <v>2334</v>
      </c>
      <c r="D47" s="38" t="s">
        <v>2335</v>
      </c>
      <c r="E47" s="39" t="s">
        <v>2336</v>
      </c>
      <c r="F47" s="20" t="s">
        <v>396</v>
      </c>
      <c r="G47" s="20" t="s">
        <v>397</v>
      </c>
      <c r="H47" s="20">
        <v>4</v>
      </c>
      <c r="I47" s="20" t="s">
        <v>2279</v>
      </c>
      <c r="J47" s="18">
        <v>10</v>
      </c>
      <c r="K47" s="18">
        <v>10</v>
      </c>
      <c r="L47" s="18">
        <v>9.5</v>
      </c>
      <c r="M47" s="18" t="s">
        <v>13</v>
      </c>
      <c r="N47" s="16"/>
    </row>
    <row r="48" spans="2:15" ht="24.95" customHeight="1">
      <c r="B48" s="15">
        <v>39</v>
      </c>
      <c r="C48" s="22" t="s">
        <v>2337</v>
      </c>
      <c r="D48" s="38" t="s">
        <v>455</v>
      </c>
      <c r="E48" s="39" t="s">
        <v>143</v>
      </c>
      <c r="F48" s="20" t="s">
        <v>694</v>
      </c>
      <c r="G48" s="20" t="s">
        <v>397</v>
      </c>
      <c r="H48" s="20">
        <v>4</v>
      </c>
      <c r="I48" s="20" t="s">
        <v>2279</v>
      </c>
      <c r="J48" s="18">
        <v>10</v>
      </c>
      <c r="K48" s="18">
        <v>10</v>
      </c>
      <c r="L48" s="18">
        <v>8</v>
      </c>
      <c r="M48" s="18" t="s">
        <v>13</v>
      </c>
      <c r="N48" s="16"/>
    </row>
    <row r="49" spans="2:15" ht="24.95" customHeight="1">
      <c r="B49" s="15">
        <v>40</v>
      </c>
      <c r="C49" s="22" t="s">
        <v>2338</v>
      </c>
      <c r="D49" s="38" t="s">
        <v>2339</v>
      </c>
      <c r="E49" s="39" t="s">
        <v>71</v>
      </c>
      <c r="F49" s="20" t="s">
        <v>450</v>
      </c>
      <c r="G49" s="20" t="s">
        <v>397</v>
      </c>
      <c r="H49" s="20">
        <v>4</v>
      </c>
      <c r="I49" s="20" t="s">
        <v>2279</v>
      </c>
      <c r="J49" s="18">
        <v>8.5</v>
      </c>
      <c r="K49" s="18">
        <v>10</v>
      </c>
      <c r="L49" s="18">
        <v>7.5</v>
      </c>
      <c r="M49" s="18" t="s">
        <v>13</v>
      </c>
      <c r="N49" s="16"/>
    </row>
    <row r="50" spans="2:15" ht="24.95" customHeight="1">
      <c r="B50" s="15">
        <v>41</v>
      </c>
      <c r="C50" s="22" t="s">
        <v>2340</v>
      </c>
      <c r="D50" s="38" t="s">
        <v>2341</v>
      </c>
      <c r="E50" s="39" t="s">
        <v>71</v>
      </c>
      <c r="F50" s="20" t="s">
        <v>82</v>
      </c>
      <c r="G50" s="20" t="s">
        <v>397</v>
      </c>
      <c r="H50" s="20">
        <v>4</v>
      </c>
      <c r="I50" s="20" t="s">
        <v>2279</v>
      </c>
      <c r="J50" s="18">
        <v>10</v>
      </c>
      <c r="K50" s="18">
        <v>9.5</v>
      </c>
      <c r="L50" s="18">
        <v>9</v>
      </c>
      <c r="M50" s="18" t="s">
        <v>13</v>
      </c>
      <c r="N50" s="16" t="str">
        <f t="shared" si="1"/>
        <v/>
      </c>
    </row>
    <row r="51" spans="2:15" ht="24.95" customHeight="1">
      <c r="B51" s="15">
        <v>42</v>
      </c>
      <c r="C51" s="22" t="s">
        <v>2342</v>
      </c>
      <c r="D51" s="38" t="s">
        <v>2343</v>
      </c>
      <c r="E51" s="39" t="s">
        <v>71</v>
      </c>
      <c r="F51" s="20" t="s">
        <v>694</v>
      </c>
      <c r="G51" s="20" t="s">
        <v>397</v>
      </c>
      <c r="H51" s="20">
        <v>4</v>
      </c>
      <c r="I51" s="20" t="s">
        <v>2279</v>
      </c>
      <c r="J51" s="18">
        <v>10</v>
      </c>
      <c r="K51" s="18">
        <v>10</v>
      </c>
      <c r="L51" s="18">
        <v>8.5</v>
      </c>
      <c r="M51" s="18" t="s">
        <v>13</v>
      </c>
      <c r="N51" s="16" t="str">
        <f t="shared" si="1"/>
        <v/>
      </c>
    </row>
    <row r="52" spans="2:15" ht="24.95" customHeight="1">
      <c r="B52" s="15">
        <v>43</v>
      </c>
      <c r="C52" s="22" t="s">
        <v>2344</v>
      </c>
      <c r="D52" s="38" t="s">
        <v>2345</v>
      </c>
      <c r="E52" s="39" t="s">
        <v>71</v>
      </c>
      <c r="F52" s="20" t="s">
        <v>30</v>
      </c>
      <c r="G52" s="20" t="s">
        <v>397</v>
      </c>
      <c r="H52" s="20">
        <v>4</v>
      </c>
      <c r="I52" s="20" t="s">
        <v>2279</v>
      </c>
      <c r="J52" s="18">
        <v>10</v>
      </c>
      <c r="K52" s="18">
        <v>10</v>
      </c>
      <c r="L52" s="18">
        <v>10</v>
      </c>
      <c r="M52" s="18" t="s">
        <v>13</v>
      </c>
      <c r="N52" s="16" t="s">
        <v>2835</v>
      </c>
    </row>
    <row r="53" spans="2:15" s="49" customFormat="1" ht="24.95" customHeight="1">
      <c r="B53" s="42">
        <v>44</v>
      </c>
      <c r="C53" s="43" t="s">
        <v>2346</v>
      </c>
      <c r="D53" s="44" t="s">
        <v>2347</v>
      </c>
      <c r="E53" s="45" t="s">
        <v>72</v>
      </c>
      <c r="F53" s="46" t="s">
        <v>974</v>
      </c>
      <c r="G53" s="46" t="s">
        <v>397</v>
      </c>
      <c r="H53" s="46">
        <v>4</v>
      </c>
      <c r="I53" s="46" t="s">
        <v>2279</v>
      </c>
      <c r="J53" s="47">
        <v>10</v>
      </c>
      <c r="K53" s="47">
        <v>9</v>
      </c>
      <c r="L53" s="47">
        <v>9</v>
      </c>
      <c r="M53" s="47" t="s">
        <v>13</v>
      </c>
      <c r="N53" s="48"/>
      <c r="O53" s="54"/>
    </row>
    <row r="54" spans="2:15" ht="24.95" customHeight="1">
      <c r="B54" s="15">
        <v>45</v>
      </c>
      <c r="C54" s="22" t="s">
        <v>2348</v>
      </c>
      <c r="D54" s="38" t="s">
        <v>76</v>
      </c>
      <c r="E54" s="39" t="s">
        <v>2843</v>
      </c>
      <c r="F54" s="20" t="s">
        <v>400</v>
      </c>
      <c r="G54" s="20" t="s">
        <v>397</v>
      </c>
      <c r="H54" s="20">
        <v>4</v>
      </c>
      <c r="I54" s="20" t="s">
        <v>2279</v>
      </c>
      <c r="J54" s="18">
        <v>9.5</v>
      </c>
      <c r="K54" s="18">
        <v>10</v>
      </c>
      <c r="L54" s="18">
        <v>8</v>
      </c>
      <c r="M54" s="18" t="s">
        <v>13</v>
      </c>
      <c r="N54" s="16"/>
    </row>
    <row r="55" spans="2:15" ht="24.95" customHeight="1">
      <c r="B55" s="15">
        <v>46</v>
      </c>
      <c r="C55" s="22" t="s">
        <v>2349</v>
      </c>
      <c r="D55" s="38" t="s">
        <v>281</v>
      </c>
      <c r="E55" s="39" t="s">
        <v>190</v>
      </c>
      <c r="F55" s="20" t="s">
        <v>52</v>
      </c>
      <c r="G55" s="20" t="s">
        <v>397</v>
      </c>
      <c r="H55" s="20">
        <v>4</v>
      </c>
      <c r="I55" s="20" t="s">
        <v>2279</v>
      </c>
      <c r="J55" s="18">
        <v>10</v>
      </c>
      <c r="K55" s="18">
        <v>10</v>
      </c>
      <c r="L55" s="18">
        <v>10</v>
      </c>
      <c r="M55" s="18" t="s">
        <v>13</v>
      </c>
      <c r="N55" s="16"/>
    </row>
    <row r="56" spans="2:15" ht="24.95" customHeight="1">
      <c r="B56" s="15">
        <v>47</v>
      </c>
      <c r="C56" s="22" t="s">
        <v>2350</v>
      </c>
      <c r="D56" s="38" t="s">
        <v>76</v>
      </c>
      <c r="E56" s="39" t="s">
        <v>190</v>
      </c>
      <c r="F56" s="20" t="s">
        <v>420</v>
      </c>
      <c r="G56" s="20" t="s">
        <v>397</v>
      </c>
      <c r="H56" s="20">
        <v>4</v>
      </c>
      <c r="I56" s="20" t="s">
        <v>2279</v>
      </c>
      <c r="J56" s="18">
        <v>9.5</v>
      </c>
      <c r="K56" s="18">
        <v>10</v>
      </c>
      <c r="L56" s="18">
        <v>10</v>
      </c>
      <c r="M56" s="18" t="s">
        <v>13</v>
      </c>
      <c r="N56" s="16"/>
    </row>
    <row r="57" spans="2:15" ht="24.95" customHeight="1">
      <c r="B57" s="15">
        <v>48</v>
      </c>
      <c r="C57" s="22" t="s">
        <v>2351</v>
      </c>
      <c r="D57" s="38" t="s">
        <v>32</v>
      </c>
      <c r="E57" s="39" t="s">
        <v>73</v>
      </c>
      <c r="F57" s="20" t="s">
        <v>82</v>
      </c>
      <c r="G57" s="20" t="s">
        <v>397</v>
      </c>
      <c r="H57" s="20">
        <v>4</v>
      </c>
      <c r="I57" s="20" t="s">
        <v>2279</v>
      </c>
      <c r="J57" s="18">
        <v>10</v>
      </c>
      <c r="K57" s="18">
        <v>10</v>
      </c>
      <c r="L57" s="18">
        <v>8.5</v>
      </c>
      <c r="M57" s="18" t="s">
        <v>13</v>
      </c>
      <c r="N57" s="16" t="str">
        <f t="shared" si="1"/>
        <v/>
      </c>
    </row>
    <row r="58" spans="2:15" ht="24.95" customHeight="1">
      <c r="B58" s="15">
        <v>49</v>
      </c>
      <c r="C58" s="22" t="s">
        <v>2352</v>
      </c>
      <c r="D58" s="38" t="s">
        <v>1141</v>
      </c>
      <c r="E58" s="39" t="s">
        <v>75</v>
      </c>
      <c r="F58" s="20" t="s">
        <v>687</v>
      </c>
      <c r="G58" s="20" t="s">
        <v>397</v>
      </c>
      <c r="H58" s="20">
        <v>4</v>
      </c>
      <c r="I58" s="20" t="s">
        <v>2279</v>
      </c>
      <c r="J58" s="18">
        <v>10</v>
      </c>
      <c r="K58" s="18">
        <v>9.5</v>
      </c>
      <c r="L58" s="18">
        <v>8.5</v>
      </c>
      <c r="M58" s="18" t="s">
        <v>13</v>
      </c>
      <c r="N58" s="16" t="str">
        <f t="shared" si="1"/>
        <v/>
      </c>
    </row>
    <row r="59" spans="2:15" ht="24.95" customHeight="1">
      <c r="B59" s="15">
        <v>50</v>
      </c>
      <c r="C59" s="22" t="s">
        <v>2353</v>
      </c>
      <c r="D59" s="38" t="s">
        <v>227</v>
      </c>
      <c r="E59" s="39" t="s">
        <v>75</v>
      </c>
      <c r="F59" s="20" t="s">
        <v>412</v>
      </c>
      <c r="G59" s="20" t="s">
        <v>397</v>
      </c>
      <c r="H59" s="20">
        <v>4</v>
      </c>
      <c r="I59" s="20" t="s">
        <v>2279</v>
      </c>
      <c r="J59" s="18">
        <v>0</v>
      </c>
      <c r="K59" s="18">
        <v>0</v>
      </c>
      <c r="L59" s="18">
        <v>0</v>
      </c>
      <c r="M59" s="18" t="s">
        <v>13</v>
      </c>
      <c r="N59" s="16" t="str">
        <f t="shared" si="1"/>
        <v>Không đủ ĐKDT</v>
      </c>
    </row>
    <row r="60" spans="2:15" ht="24.95" customHeight="1">
      <c r="B60" s="15">
        <v>51</v>
      </c>
      <c r="C60" s="22" t="s">
        <v>2354</v>
      </c>
      <c r="D60" s="38" t="s">
        <v>68</v>
      </c>
      <c r="E60" s="39" t="s">
        <v>148</v>
      </c>
      <c r="F60" s="20" t="s">
        <v>420</v>
      </c>
      <c r="G60" s="20" t="s">
        <v>397</v>
      </c>
      <c r="H60" s="20">
        <v>4</v>
      </c>
      <c r="I60" s="20" t="s">
        <v>2279</v>
      </c>
      <c r="J60" s="18">
        <v>9.5</v>
      </c>
      <c r="K60" s="18">
        <v>9.5</v>
      </c>
      <c r="L60" s="18">
        <v>8.5</v>
      </c>
      <c r="M60" s="18" t="s">
        <v>13</v>
      </c>
      <c r="N60" s="16"/>
    </row>
    <row r="61" spans="2:15" ht="24.95" customHeight="1">
      <c r="B61" s="15">
        <v>52</v>
      </c>
      <c r="C61" s="22" t="s">
        <v>2355</v>
      </c>
      <c r="D61" s="38" t="s">
        <v>2356</v>
      </c>
      <c r="E61" s="39" t="s">
        <v>81</v>
      </c>
      <c r="F61" s="20" t="s">
        <v>432</v>
      </c>
      <c r="G61" s="20" t="s">
        <v>397</v>
      </c>
      <c r="H61" s="20">
        <v>4</v>
      </c>
      <c r="I61" s="20" t="s">
        <v>2279</v>
      </c>
      <c r="J61" s="18">
        <v>10</v>
      </c>
      <c r="K61" s="18">
        <v>10</v>
      </c>
      <c r="L61" s="18">
        <v>10</v>
      </c>
      <c r="M61" s="18" t="s">
        <v>13</v>
      </c>
      <c r="N61" s="16" t="str">
        <f t="shared" si="1"/>
        <v/>
      </c>
      <c r="O61" s="52">
        <v>0.25</v>
      </c>
    </row>
    <row r="62" spans="2:15" ht="24.95" customHeight="1">
      <c r="B62" s="15">
        <v>53</v>
      </c>
      <c r="C62" s="22" t="s">
        <v>2357</v>
      </c>
      <c r="D62" s="38" t="s">
        <v>78</v>
      </c>
      <c r="E62" s="39" t="s">
        <v>81</v>
      </c>
      <c r="F62" s="20" t="s">
        <v>82</v>
      </c>
      <c r="G62" s="20" t="s">
        <v>397</v>
      </c>
      <c r="H62" s="20">
        <v>4</v>
      </c>
      <c r="I62" s="20" t="s">
        <v>2279</v>
      </c>
      <c r="J62" s="18">
        <v>10</v>
      </c>
      <c r="K62" s="18">
        <v>10</v>
      </c>
      <c r="L62" s="18">
        <v>10</v>
      </c>
      <c r="M62" s="18" t="s">
        <v>13</v>
      </c>
      <c r="N62" s="16" t="s">
        <v>2836</v>
      </c>
    </row>
    <row r="63" spans="2:15" ht="24.95" customHeight="1">
      <c r="B63" s="15">
        <v>54</v>
      </c>
      <c r="C63" s="22" t="s">
        <v>2358</v>
      </c>
      <c r="D63" s="38" t="s">
        <v>2359</v>
      </c>
      <c r="E63" s="39" t="s">
        <v>260</v>
      </c>
      <c r="F63" s="20" t="s">
        <v>675</v>
      </c>
      <c r="G63" s="20" t="s">
        <v>397</v>
      </c>
      <c r="H63" s="20">
        <v>4</v>
      </c>
      <c r="I63" s="20" t="s">
        <v>2279</v>
      </c>
      <c r="J63" s="18">
        <v>5</v>
      </c>
      <c r="K63" s="18">
        <v>1</v>
      </c>
      <c r="L63" s="18">
        <v>6</v>
      </c>
      <c r="M63" s="18" t="s">
        <v>13</v>
      </c>
      <c r="N63" s="16"/>
    </row>
    <row r="64" spans="2:15" ht="24.95" customHeight="1">
      <c r="B64" s="15">
        <v>55</v>
      </c>
      <c r="C64" s="22" t="s">
        <v>2360</v>
      </c>
      <c r="D64" s="38" t="s">
        <v>61</v>
      </c>
      <c r="E64" s="39" t="s">
        <v>260</v>
      </c>
      <c r="F64" s="20" t="s">
        <v>692</v>
      </c>
      <c r="G64" s="20" t="s">
        <v>397</v>
      </c>
      <c r="H64" s="20">
        <v>4</v>
      </c>
      <c r="I64" s="20" t="s">
        <v>2279</v>
      </c>
      <c r="J64" s="18">
        <v>9</v>
      </c>
      <c r="K64" s="18">
        <v>10</v>
      </c>
      <c r="L64" s="18">
        <v>7.5</v>
      </c>
      <c r="M64" s="18" t="s">
        <v>13</v>
      </c>
      <c r="N64" s="16"/>
    </row>
    <row r="65" spans="2:14" ht="24.95" customHeight="1">
      <c r="B65" s="15">
        <v>56</v>
      </c>
      <c r="C65" s="22" t="s">
        <v>2361</v>
      </c>
      <c r="D65" s="38" t="s">
        <v>2362</v>
      </c>
      <c r="E65" s="39" t="s">
        <v>84</v>
      </c>
      <c r="F65" s="20" t="s">
        <v>396</v>
      </c>
      <c r="G65" s="20" t="s">
        <v>397</v>
      </c>
      <c r="H65" s="20">
        <v>4</v>
      </c>
      <c r="I65" s="20" t="s">
        <v>2279</v>
      </c>
      <c r="J65" s="18">
        <v>10</v>
      </c>
      <c r="K65" s="18">
        <v>10</v>
      </c>
      <c r="L65" s="18">
        <v>9</v>
      </c>
      <c r="M65" s="18" t="s">
        <v>13</v>
      </c>
      <c r="N65" s="16" t="str">
        <f t="shared" si="1"/>
        <v/>
      </c>
    </row>
    <row r="66" spans="2:14" ht="24.95" customHeight="1">
      <c r="B66" s="15">
        <v>57</v>
      </c>
      <c r="C66" s="22" t="s">
        <v>2363</v>
      </c>
      <c r="D66" s="38" t="s">
        <v>85</v>
      </c>
      <c r="E66" s="39" t="s">
        <v>84</v>
      </c>
      <c r="F66" s="20" t="s">
        <v>40</v>
      </c>
      <c r="G66" s="20" t="s">
        <v>397</v>
      </c>
      <c r="H66" s="20">
        <v>4</v>
      </c>
      <c r="I66" s="20" t="s">
        <v>2279</v>
      </c>
      <c r="J66" s="18">
        <v>10</v>
      </c>
      <c r="K66" s="18">
        <v>9</v>
      </c>
      <c r="L66" s="18">
        <v>10</v>
      </c>
      <c r="M66" s="18" t="s">
        <v>13</v>
      </c>
      <c r="N66" s="16" t="str">
        <f t="shared" si="1"/>
        <v/>
      </c>
    </row>
    <row r="67" spans="2:14" ht="24.95" customHeight="1">
      <c r="B67" s="15">
        <v>58</v>
      </c>
      <c r="C67" s="22" t="s">
        <v>2364</v>
      </c>
      <c r="D67" s="38" t="s">
        <v>2365</v>
      </c>
      <c r="E67" s="39" t="s">
        <v>195</v>
      </c>
      <c r="F67" s="20" t="s">
        <v>405</v>
      </c>
      <c r="G67" s="20" t="s">
        <v>397</v>
      </c>
      <c r="H67" s="20">
        <v>4</v>
      </c>
      <c r="I67" s="20" t="s">
        <v>2279</v>
      </c>
      <c r="J67" s="18">
        <v>10</v>
      </c>
      <c r="K67" s="18">
        <v>10</v>
      </c>
      <c r="L67" s="18">
        <v>9.5</v>
      </c>
      <c r="M67" s="18" t="s">
        <v>13</v>
      </c>
      <c r="N67" s="16" t="str">
        <f t="shared" si="1"/>
        <v/>
      </c>
    </row>
    <row r="68" spans="2:14" ht="24.95" customHeight="1">
      <c r="B68" s="15">
        <v>59</v>
      </c>
      <c r="C68" s="21" t="s">
        <v>2366</v>
      </c>
      <c r="D68" s="36" t="s">
        <v>2367</v>
      </c>
      <c r="E68" s="37" t="s">
        <v>93</v>
      </c>
      <c r="F68" s="19" t="s">
        <v>405</v>
      </c>
      <c r="G68" s="19" t="s">
        <v>397</v>
      </c>
      <c r="H68" s="19">
        <v>4</v>
      </c>
      <c r="I68" s="19" t="s">
        <v>2279</v>
      </c>
      <c r="J68" s="17">
        <v>9</v>
      </c>
      <c r="K68" s="17">
        <v>9.5</v>
      </c>
      <c r="L68" s="17">
        <v>8.5</v>
      </c>
      <c r="M68" s="17" t="s">
        <v>13</v>
      </c>
      <c r="N68" s="14"/>
    </row>
    <row r="69" spans="2:14" ht="24.95" customHeight="1">
      <c r="B69" s="15">
        <v>60</v>
      </c>
      <c r="C69" s="22" t="s">
        <v>2368</v>
      </c>
      <c r="D69" s="38" t="s">
        <v>388</v>
      </c>
      <c r="E69" s="39" t="s">
        <v>152</v>
      </c>
      <c r="F69" s="20" t="s">
        <v>701</v>
      </c>
      <c r="G69" s="20" t="s">
        <v>397</v>
      </c>
      <c r="H69" s="20">
        <v>4</v>
      </c>
      <c r="I69" s="20" t="s">
        <v>2279</v>
      </c>
      <c r="J69" s="18">
        <v>10</v>
      </c>
      <c r="K69" s="18">
        <v>10</v>
      </c>
      <c r="L69" s="18">
        <v>9</v>
      </c>
      <c r="M69" s="18" t="s">
        <v>13</v>
      </c>
      <c r="N69" s="16" t="str">
        <f>+IF(OR($J69=0,$K69=0,$L69=0,$M69=0),"Không đủ ĐKDT","")</f>
        <v/>
      </c>
    </row>
    <row r="70" spans="2:14" ht="24.95" customHeight="1">
      <c r="B70" s="15">
        <v>61</v>
      </c>
      <c r="C70" s="22" t="s">
        <v>2369</v>
      </c>
      <c r="D70" s="38" t="s">
        <v>85</v>
      </c>
      <c r="E70" s="39" t="s">
        <v>152</v>
      </c>
      <c r="F70" s="20" t="s">
        <v>38</v>
      </c>
      <c r="G70" s="20" t="s">
        <v>397</v>
      </c>
      <c r="H70" s="20">
        <v>4</v>
      </c>
      <c r="I70" s="20" t="s">
        <v>2279</v>
      </c>
      <c r="J70" s="18">
        <v>10</v>
      </c>
      <c r="K70" s="18">
        <v>10</v>
      </c>
      <c r="L70" s="18">
        <v>9.5</v>
      </c>
      <c r="M70" s="18" t="s">
        <v>13</v>
      </c>
      <c r="N70" s="16" t="str">
        <f t="shared" ref="N70:N94" si="2">+IF(OR($J70=0,$K70=0,$L70=0,$M70=0),"Không đủ ĐKDT","")</f>
        <v/>
      </c>
    </row>
    <row r="71" spans="2:14" ht="24.95" customHeight="1">
      <c r="B71" s="15">
        <v>62</v>
      </c>
      <c r="C71" s="22" t="s">
        <v>2370</v>
      </c>
      <c r="D71" s="44" t="s">
        <v>139</v>
      </c>
      <c r="E71" s="45" t="s">
        <v>1432</v>
      </c>
      <c r="F71" s="46" t="s">
        <v>567</v>
      </c>
      <c r="G71" s="46" t="s">
        <v>397</v>
      </c>
      <c r="H71" s="46">
        <v>4</v>
      </c>
      <c r="I71" s="46" t="s">
        <v>2279</v>
      </c>
      <c r="J71" s="47">
        <v>10</v>
      </c>
      <c r="K71" s="47">
        <v>10</v>
      </c>
      <c r="L71" s="47">
        <v>8.5</v>
      </c>
      <c r="M71" s="18" t="s">
        <v>13</v>
      </c>
      <c r="N71" s="16"/>
    </row>
    <row r="72" spans="2:14" ht="24.95" customHeight="1">
      <c r="B72" s="15">
        <v>63</v>
      </c>
      <c r="C72" s="22" t="s">
        <v>2371</v>
      </c>
      <c r="D72" s="38" t="s">
        <v>1313</v>
      </c>
      <c r="E72" s="39" t="s">
        <v>1432</v>
      </c>
      <c r="F72" s="20" t="s">
        <v>405</v>
      </c>
      <c r="G72" s="20" t="s">
        <v>397</v>
      </c>
      <c r="H72" s="20">
        <v>4</v>
      </c>
      <c r="I72" s="20" t="s">
        <v>2279</v>
      </c>
      <c r="J72" s="18">
        <v>9.5</v>
      </c>
      <c r="K72" s="18">
        <v>9.5</v>
      </c>
      <c r="L72" s="18">
        <v>10</v>
      </c>
      <c r="M72" s="18" t="s">
        <v>13</v>
      </c>
      <c r="N72" s="16"/>
    </row>
    <row r="73" spans="2:14" ht="24.95" customHeight="1">
      <c r="B73" s="15">
        <v>64</v>
      </c>
      <c r="C73" s="22" t="s">
        <v>2372</v>
      </c>
      <c r="D73" s="38" t="s">
        <v>198</v>
      </c>
      <c r="E73" s="39" t="s">
        <v>97</v>
      </c>
      <c r="F73" s="20" t="s">
        <v>82</v>
      </c>
      <c r="G73" s="20" t="s">
        <v>397</v>
      </c>
      <c r="H73" s="20">
        <v>4</v>
      </c>
      <c r="I73" s="20" t="s">
        <v>2279</v>
      </c>
      <c r="J73" s="18">
        <v>9</v>
      </c>
      <c r="K73" s="18">
        <v>10</v>
      </c>
      <c r="L73" s="18">
        <v>9</v>
      </c>
      <c r="M73" s="18" t="s">
        <v>13</v>
      </c>
      <c r="N73" s="16"/>
    </row>
    <row r="74" spans="2:14" ht="24.95" customHeight="1">
      <c r="B74" s="15">
        <v>65</v>
      </c>
      <c r="C74" s="22" t="s">
        <v>2373</v>
      </c>
      <c r="D74" s="38" t="s">
        <v>370</v>
      </c>
      <c r="E74" s="39" t="s">
        <v>97</v>
      </c>
      <c r="F74" s="20" t="s">
        <v>444</v>
      </c>
      <c r="G74" s="20" t="s">
        <v>397</v>
      </c>
      <c r="H74" s="20">
        <v>4</v>
      </c>
      <c r="I74" s="20" t="s">
        <v>2279</v>
      </c>
      <c r="J74" s="18">
        <v>7</v>
      </c>
      <c r="K74" s="18">
        <v>10</v>
      </c>
      <c r="L74" s="18">
        <v>7.5</v>
      </c>
      <c r="M74" s="18" t="s">
        <v>13</v>
      </c>
      <c r="N74" s="16"/>
    </row>
    <row r="75" spans="2:14" ht="24.95" customHeight="1">
      <c r="B75" s="15">
        <v>66</v>
      </c>
      <c r="C75" s="22" t="s">
        <v>2374</v>
      </c>
      <c r="D75" s="38" t="s">
        <v>368</v>
      </c>
      <c r="E75" s="39" t="s">
        <v>2375</v>
      </c>
      <c r="F75" s="20" t="s">
        <v>405</v>
      </c>
      <c r="G75" s="20" t="s">
        <v>397</v>
      </c>
      <c r="H75" s="20">
        <v>4</v>
      </c>
      <c r="I75" s="20" t="s">
        <v>2279</v>
      </c>
      <c r="J75" s="18">
        <v>10</v>
      </c>
      <c r="K75" s="18">
        <v>10</v>
      </c>
      <c r="L75" s="18">
        <v>9</v>
      </c>
      <c r="M75" s="18" t="s">
        <v>13</v>
      </c>
      <c r="N75" s="16" t="str">
        <f t="shared" si="2"/>
        <v/>
      </c>
    </row>
    <row r="76" spans="2:14" ht="24.95" customHeight="1">
      <c r="B76" s="15">
        <v>67</v>
      </c>
      <c r="C76" s="22" t="s">
        <v>2376</v>
      </c>
      <c r="D76" s="38" t="s">
        <v>1019</v>
      </c>
      <c r="E76" s="39" t="s">
        <v>225</v>
      </c>
      <c r="F76" s="20" t="s">
        <v>396</v>
      </c>
      <c r="G76" s="20" t="s">
        <v>397</v>
      </c>
      <c r="H76" s="20">
        <v>4</v>
      </c>
      <c r="I76" s="20" t="s">
        <v>2279</v>
      </c>
      <c r="J76" s="18">
        <v>10</v>
      </c>
      <c r="K76" s="18">
        <v>10</v>
      </c>
      <c r="L76" s="18">
        <v>10</v>
      </c>
      <c r="M76" s="18" t="s">
        <v>13</v>
      </c>
      <c r="N76" s="16" t="s">
        <v>2857</v>
      </c>
    </row>
    <row r="77" spans="2:14" ht="24.95" customHeight="1">
      <c r="B77" s="15">
        <v>68</v>
      </c>
      <c r="C77" s="22" t="s">
        <v>2377</v>
      </c>
      <c r="D77" s="38" t="s">
        <v>2378</v>
      </c>
      <c r="E77" s="39" t="s">
        <v>158</v>
      </c>
      <c r="F77" s="20" t="s">
        <v>52</v>
      </c>
      <c r="G77" s="20" t="s">
        <v>397</v>
      </c>
      <c r="H77" s="20">
        <v>4</v>
      </c>
      <c r="I77" s="20" t="s">
        <v>2279</v>
      </c>
      <c r="J77" s="18">
        <v>10</v>
      </c>
      <c r="K77" s="18">
        <v>10</v>
      </c>
      <c r="L77" s="18">
        <v>10</v>
      </c>
      <c r="M77" s="18" t="s">
        <v>13</v>
      </c>
      <c r="N77" s="16" t="s">
        <v>2842</v>
      </c>
    </row>
    <row r="78" spans="2:14" ht="24.95" customHeight="1">
      <c r="B78" s="15">
        <v>69</v>
      </c>
      <c r="C78" s="22" t="s">
        <v>2379</v>
      </c>
      <c r="D78" s="38" t="s">
        <v>2036</v>
      </c>
      <c r="E78" s="39" t="s">
        <v>108</v>
      </c>
      <c r="F78" s="20" t="s">
        <v>701</v>
      </c>
      <c r="G78" s="20" t="s">
        <v>397</v>
      </c>
      <c r="H78" s="20">
        <v>4</v>
      </c>
      <c r="I78" s="20" t="s">
        <v>2279</v>
      </c>
      <c r="J78" s="18">
        <v>10</v>
      </c>
      <c r="K78" s="18">
        <v>10</v>
      </c>
      <c r="L78" s="18">
        <v>10</v>
      </c>
      <c r="M78" s="18" t="s">
        <v>13</v>
      </c>
      <c r="N78" s="16" t="str">
        <f t="shared" si="2"/>
        <v/>
      </c>
    </row>
    <row r="79" spans="2:14" ht="24.95" customHeight="1">
      <c r="B79" s="15">
        <v>70</v>
      </c>
      <c r="C79" s="22" t="s">
        <v>2380</v>
      </c>
      <c r="D79" s="38" t="s">
        <v>350</v>
      </c>
      <c r="E79" s="39" t="s">
        <v>353</v>
      </c>
      <c r="F79" s="20" t="s">
        <v>405</v>
      </c>
      <c r="G79" s="20" t="s">
        <v>397</v>
      </c>
      <c r="H79" s="20">
        <v>4</v>
      </c>
      <c r="I79" s="20" t="s">
        <v>2279</v>
      </c>
      <c r="J79" s="18">
        <v>10</v>
      </c>
      <c r="K79" s="18">
        <v>10</v>
      </c>
      <c r="L79" s="18">
        <v>10</v>
      </c>
      <c r="M79" s="18" t="s">
        <v>13</v>
      </c>
      <c r="N79" s="16" t="str">
        <f t="shared" si="2"/>
        <v/>
      </c>
    </row>
    <row r="80" spans="2:14" ht="24.95" customHeight="1">
      <c r="B80" s="15">
        <v>71</v>
      </c>
      <c r="C80" s="22" t="s">
        <v>2381</v>
      </c>
      <c r="D80" s="38" t="s">
        <v>78</v>
      </c>
      <c r="E80" s="39" t="s">
        <v>161</v>
      </c>
      <c r="F80" s="20" t="s">
        <v>420</v>
      </c>
      <c r="G80" s="20" t="s">
        <v>397</v>
      </c>
      <c r="H80" s="20">
        <v>4</v>
      </c>
      <c r="I80" s="20" t="s">
        <v>2279</v>
      </c>
      <c r="J80" s="18">
        <v>9.5</v>
      </c>
      <c r="K80" s="18">
        <v>10</v>
      </c>
      <c r="L80" s="18">
        <v>8</v>
      </c>
      <c r="M80" s="18" t="s">
        <v>13</v>
      </c>
      <c r="N80" s="16"/>
    </row>
    <row r="81" spans="2:15" ht="24.95" customHeight="1">
      <c r="B81" s="15">
        <v>72</v>
      </c>
      <c r="C81" s="22" t="s">
        <v>2382</v>
      </c>
      <c r="D81" s="38" t="s">
        <v>2383</v>
      </c>
      <c r="E81" s="39" t="s">
        <v>162</v>
      </c>
      <c r="F81" s="20" t="s">
        <v>720</v>
      </c>
      <c r="G81" s="20" t="s">
        <v>397</v>
      </c>
      <c r="H81" s="20">
        <v>4</v>
      </c>
      <c r="I81" s="20" t="s">
        <v>2279</v>
      </c>
      <c r="J81" s="18">
        <v>10</v>
      </c>
      <c r="K81" s="18">
        <v>9</v>
      </c>
      <c r="L81" s="18">
        <v>8</v>
      </c>
      <c r="M81" s="18" t="s">
        <v>13</v>
      </c>
      <c r="N81" s="16" t="str">
        <f t="shared" si="2"/>
        <v/>
      </c>
    </row>
    <row r="82" spans="2:15" ht="24.95" customHeight="1">
      <c r="B82" s="15">
        <v>73</v>
      </c>
      <c r="C82" s="22" t="s">
        <v>2384</v>
      </c>
      <c r="D82" s="38" t="s">
        <v>76</v>
      </c>
      <c r="E82" s="39" t="s">
        <v>229</v>
      </c>
      <c r="F82" s="20" t="s">
        <v>30</v>
      </c>
      <c r="G82" s="20" t="s">
        <v>397</v>
      </c>
      <c r="H82" s="20">
        <v>4</v>
      </c>
      <c r="I82" s="20" t="s">
        <v>2279</v>
      </c>
      <c r="J82" s="18">
        <v>9.5</v>
      </c>
      <c r="K82" s="18">
        <v>9</v>
      </c>
      <c r="L82" s="18">
        <v>10</v>
      </c>
      <c r="M82" s="18" t="s">
        <v>13</v>
      </c>
      <c r="N82" s="16"/>
    </row>
    <row r="83" spans="2:15" ht="24.95" customHeight="1">
      <c r="B83" s="15">
        <v>74</v>
      </c>
      <c r="C83" s="22" t="s">
        <v>2385</v>
      </c>
      <c r="D83" s="38" t="s">
        <v>360</v>
      </c>
      <c r="E83" s="39" t="s">
        <v>165</v>
      </c>
      <c r="F83" s="20" t="s">
        <v>412</v>
      </c>
      <c r="G83" s="20" t="s">
        <v>397</v>
      </c>
      <c r="H83" s="20">
        <v>4</v>
      </c>
      <c r="I83" s="20" t="s">
        <v>2279</v>
      </c>
      <c r="J83" s="18">
        <v>10</v>
      </c>
      <c r="K83" s="18">
        <v>10</v>
      </c>
      <c r="L83" s="18">
        <v>10</v>
      </c>
      <c r="M83" s="18" t="s">
        <v>13</v>
      </c>
      <c r="N83" s="16" t="str">
        <f t="shared" si="2"/>
        <v/>
      </c>
    </row>
    <row r="84" spans="2:15" ht="24.95" customHeight="1">
      <c r="B84" s="15">
        <v>75</v>
      </c>
      <c r="C84" s="22" t="s">
        <v>2386</v>
      </c>
      <c r="D84" s="38" t="s">
        <v>1169</v>
      </c>
      <c r="E84" s="39" t="s">
        <v>263</v>
      </c>
      <c r="F84" s="20" t="s">
        <v>43</v>
      </c>
      <c r="G84" s="20" t="s">
        <v>397</v>
      </c>
      <c r="H84" s="20">
        <v>4</v>
      </c>
      <c r="I84" s="20" t="s">
        <v>2279</v>
      </c>
      <c r="J84" s="18">
        <v>8</v>
      </c>
      <c r="K84" s="18">
        <v>10</v>
      </c>
      <c r="L84" s="18">
        <v>8</v>
      </c>
      <c r="M84" s="18" t="s">
        <v>13</v>
      </c>
      <c r="N84" s="16"/>
    </row>
    <row r="85" spans="2:15" ht="24.95" customHeight="1">
      <c r="B85" s="15">
        <v>76</v>
      </c>
      <c r="C85" s="22" t="s">
        <v>2387</v>
      </c>
      <c r="D85" s="38" t="s">
        <v>2388</v>
      </c>
      <c r="E85" s="39" t="s">
        <v>120</v>
      </c>
      <c r="F85" s="20" t="s">
        <v>444</v>
      </c>
      <c r="G85" s="20" t="s">
        <v>397</v>
      </c>
      <c r="H85" s="20">
        <v>4</v>
      </c>
      <c r="I85" s="20" t="s">
        <v>2279</v>
      </c>
      <c r="J85" s="18">
        <v>10</v>
      </c>
      <c r="K85" s="18">
        <v>10</v>
      </c>
      <c r="L85" s="18">
        <v>9</v>
      </c>
      <c r="M85" s="18" t="s">
        <v>13</v>
      </c>
      <c r="N85" s="16" t="str">
        <f t="shared" si="2"/>
        <v/>
      </c>
    </row>
    <row r="86" spans="2:15" ht="24.95" customHeight="1">
      <c r="B86" s="15">
        <v>77</v>
      </c>
      <c r="C86" s="22" t="s">
        <v>2389</v>
      </c>
      <c r="D86" s="38" t="s">
        <v>2390</v>
      </c>
      <c r="E86" s="39" t="s">
        <v>120</v>
      </c>
      <c r="F86" s="20" t="s">
        <v>720</v>
      </c>
      <c r="G86" s="20" t="s">
        <v>397</v>
      </c>
      <c r="H86" s="20">
        <v>4</v>
      </c>
      <c r="I86" s="20" t="s">
        <v>2279</v>
      </c>
      <c r="J86" s="18">
        <v>9.5</v>
      </c>
      <c r="K86" s="18">
        <v>9</v>
      </c>
      <c r="L86" s="18">
        <v>9.5</v>
      </c>
      <c r="M86" s="18" t="s">
        <v>13</v>
      </c>
      <c r="N86" s="16"/>
    </row>
    <row r="87" spans="2:15" ht="24.95" customHeight="1">
      <c r="B87" s="15">
        <v>78</v>
      </c>
      <c r="C87" s="22" t="s">
        <v>2391</v>
      </c>
      <c r="D87" s="38" t="s">
        <v>137</v>
      </c>
      <c r="E87" s="39" t="s">
        <v>120</v>
      </c>
      <c r="F87" s="20" t="s">
        <v>690</v>
      </c>
      <c r="G87" s="20" t="s">
        <v>397</v>
      </c>
      <c r="H87" s="20">
        <v>4</v>
      </c>
      <c r="I87" s="20" t="s">
        <v>2279</v>
      </c>
      <c r="J87" s="18">
        <v>10</v>
      </c>
      <c r="K87" s="18">
        <v>10</v>
      </c>
      <c r="L87" s="18">
        <v>10</v>
      </c>
      <c r="M87" s="18" t="s">
        <v>13</v>
      </c>
      <c r="N87" s="16" t="str">
        <f t="shared" si="2"/>
        <v/>
      </c>
    </row>
    <row r="88" spans="2:15" ht="24.95" customHeight="1">
      <c r="B88" s="15">
        <v>79</v>
      </c>
      <c r="C88" s="22" t="s">
        <v>2392</v>
      </c>
      <c r="D88" s="38" t="s">
        <v>1605</v>
      </c>
      <c r="E88" s="39" t="s">
        <v>166</v>
      </c>
      <c r="F88" s="20" t="s">
        <v>720</v>
      </c>
      <c r="G88" s="20" t="s">
        <v>397</v>
      </c>
      <c r="H88" s="20">
        <v>4</v>
      </c>
      <c r="I88" s="20" t="s">
        <v>2279</v>
      </c>
      <c r="J88" s="18">
        <v>10</v>
      </c>
      <c r="K88" s="18">
        <v>10</v>
      </c>
      <c r="L88" s="18">
        <v>8.5</v>
      </c>
      <c r="M88" s="18" t="s">
        <v>13</v>
      </c>
      <c r="N88" s="16" t="str">
        <f t="shared" si="2"/>
        <v/>
      </c>
    </row>
    <row r="89" spans="2:15" ht="24.95" customHeight="1">
      <c r="B89" s="15">
        <v>80</v>
      </c>
      <c r="C89" s="22" t="s">
        <v>2393</v>
      </c>
      <c r="D89" s="38" t="s">
        <v>245</v>
      </c>
      <c r="E89" s="39" t="s">
        <v>128</v>
      </c>
      <c r="F89" s="20" t="s">
        <v>756</v>
      </c>
      <c r="G89" s="20" t="s">
        <v>397</v>
      </c>
      <c r="H89" s="20">
        <v>4</v>
      </c>
      <c r="I89" s="20" t="s">
        <v>2279</v>
      </c>
      <c r="J89" s="18">
        <v>10</v>
      </c>
      <c r="K89" s="18">
        <v>10</v>
      </c>
      <c r="L89" s="18">
        <v>7.5</v>
      </c>
      <c r="M89" s="18" t="s">
        <v>13</v>
      </c>
      <c r="N89" s="16" t="str">
        <f t="shared" si="2"/>
        <v/>
      </c>
    </row>
    <row r="90" spans="2:15" ht="24.95" customHeight="1">
      <c r="B90" s="15">
        <v>81</v>
      </c>
      <c r="C90" s="22" t="s">
        <v>2394</v>
      </c>
      <c r="D90" s="38" t="s">
        <v>2395</v>
      </c>
      <c r="E90" s="39" t="s">
        <v>128</v>
      </c>
      <c r="F90" s="20" t="s">
        <v>40</v>
      </c>
      <c r="G90" s="20" t="s">
        <v>397</v>
      </c>
      <c r="H90" s="20">
        <v>4</v>
      </c>
      <c r="I90" s="20" t="s">
        <v>2279</v>
      </c>
      <c r="J90" s="18">
        <v>10</v>
      </c>
      <c r="K90" s="18">
        <v>10</v>
      </c>
      <c r="L90" s="18">
        <v>9</v>
      </c>
      <c r="M90" s="18" t="s">
        <v>13</v>
      </c>
      <c r="N90" s="16" t="str">
        <f t="shared" si="2"/>
        <v/>
      </c>
    </row>
    <row r="91" spans="2:15" ht="24.95" customHeight="1">
      <c r="B91" s="15">
        <v>82</v>
      </c>
      <c r="C91" s="22" t="s">
        <v>2396</v>
      </c>
      <c r="D91" s="38" t="s">
        <v>68</v>
      </c>
      <c r="E91" s="39" t="s">
        <v>2397</v>
      </c>
      <c r="F91" s="20" t="s">
        <v>450</v>
      </c>
      <c r="G91" s="20" t="s">
        <v>397</v>
      </c>
      <c r="H91" s="20">
        <v>4</v>
      </c>
      <c r="I91" s="20" t="s">
        <v>2279</v>
      </c>
      <c r="J91" s="18">
        <v>10</v>
      </c>
      <c r="K91" s="18">
        <v>10</v>
      </c>
      <c r="L91" s="18">
        <v>7.5</v>
      </c>
      <c r="M91" s="18" t="s">
        <v>13</v>
      </c>
      <c r="N91" s="16" t="str">
        <f t="shared" si="2"/>
        <v/>
      </c>
    </row>
    <row r="92" spans="2:15" ht="24.95" customHeight="1">
      <c r="B92" s="15">
        <v>83</v>
      </c>
      <c r="C92" s="22" t="s">
        <v>2398</v>
      </c>
      <c r="D92" s="38" t="s">
        <v>2271</v>
      </c>
      <c r="E92" s="39" t="s">
        <v>671</v>
      </c>
      <c r="F92" s="20" t="s">
        <v>690</v>
      </c>
      <c r="G92" s="20" t="s">
        <v>397</v>
      </c>
      <c r="H92" s="20">
        <v>4</v>
      </c>
      <c r="I92" s="20" t="s">
        <v>2279</v>
      </c>
      <c r="J92" s="18">
        <v>10</v>
      </c>
      <c r="K92" s="18">
        <v>9.5</v>
      </c>
      <c r="L92" s="18">
        <v>8</v>
      </c>
      <c r="M92" s="18" t="s">
        <v>13</v>
      </c>
      <c r="N92" s="16" t="str">
        <f t="shared" si="2"/>
        <v/>
      </c>
    </row>
    <row r="93" spans="2:15" ht="24.95" customHeight="1">
      <c r="B93" s="15">
        <v>84</v>
      </c>
      <c r="C93" s="22" t="s">
        <v>2399</v>
      </c>
      <c r="D93" s="38" t="s">
        <v>76</v>
      </c>
      <c r="E93" s="39" t="s">
        <v>2400</v>
      </c>
      <c r="F93" s="20" t="s">
        <v>410</v>
      </c>
      <c r="G93" s="20" t="s">
        <v>397</v>
      </c>
      <c r="H93" s="20">
        <v>4</v>
      </c>
      <c r="I93" s="20" t="s">
        <v>2279</v>
      </c>
      <c r="J93" s="18">
        <v>10</v>
      </c>
      <c r="K93" s="18">
        <v>8.5</v>
      </c>
      <c r="L93" s="18">
        <v>7</v>
      </c>
      <c r="M93" s="18" t="s">
        <v>13</v>
      </c>
      <c r="N93" s="16" t="str">
        <f t="shared" si="2"/>
        <v/>
      </c>
    </row>
    <row r="94" spans="2:15" ht="24.95" customHeight="1">
      <c r="B94" s="15">
        <v>85</v>
      </c>
      <c r="C94" s="22" t="s">
        <v>2401</v>
      </c>
      <c r="D94" s="38" t="s">
        <v>2402</v>
      </c>
      <c r="E94" s="39" t="s">
        <v>171</v>
      </c>
      <c r="F94" s="20" t="s">
        <v>701</v>
      </c>
      <c r="G94" s="20" t="s">
        <v>397</v>
      </c>
      <c r="H94" s="20">
        <v>4</v>
      </c>
      <c r="I94" s="20" t="s">
        <v>2279</v>
      </c>
      <c r="J94" s="18">
        <v>10</v>
      </c>
      <c r="K94" s="18">
        <v>10</v>
      </c>
      <c r="L94" s="18">
        <v>9</v>
      </c>
      <c r="M94" s="18" t="s">
        <v>13</v>
      </c>
      <c r="N94" s="16" t="str">
        <f t="shared" si="2"/>
        <v/>
      </c>
    </row>
    <row r="95" spans="2:15" ht="24.95" customHeight="1">
      <c r="B95" s="15">
        <v>86</v>
      </c>
      <c r="C95" s="22" t="s">
        <v>2403</v>
      </c>
      <c r="D95" s="38" t="s">
        <v>32</v>
      </c>
      <c r="E95" s="39" t="s">
        <v>171</v>
      </c>
      <c r="F95" s="20" t="s">
        <v>82</v>
      </c>
      <c r="G95" s="20" t="s">
        <v>397</v>
      </c>
      <c r="H95" s="20">
        <v>4</v>
      </c>
      <c r="I95" s="20" t="s">
        <v>2279</v>
      </c>
      <c r="J95" s="18">
        <v>10</v>
      </c>
      <c r="K95" s="18">
        <v>10</v>
      </c>
      <c r="L95" s="18">
        <v>10</v>
      </c>
      <c r="M95" s="18" t="s">
        <v>13</v>
      </c>
      <c r="N95" s="16" t="s">
        <v>2838</v>
      </c>
      <c r="O95" s="52">
        <v>0.68</v>
      </c>
    </row>
    <row r="96" spans="2:15" ht="24.95" customHeight="1">
      <c r="B96" s="15">
        <v>87</v>
      </c>
      <c r="C96" s="22" t="s">
        <v>2404</v>
      </c>
      <c r="D96" s="38" t="s">
        <v>76</v>
      </c>
      <c r="E96" s="39" t="s">
        <v>278</v>
      </c>
      <c r="F96" s="20" t="s">
        <v>756</v>
      </c>
      <c r="G96" s="20" t="s">
        <v>397</v>
      </c>
      <c r="H96" s="20">
        <v>4</v>
      </c>
      <c r="I96" s="20" t="s">
        <v>2279</v>
      </c>
      <c r="J96" s="18">
        <v>9</v>
      </c>
      <c r="K96" s="18">
        <v>10</v>
      </c>
      <c r="L96" s="18">
        <v>8</v>
      </c>
      <c r="M96" s="18" t="s">
        <v>13</v>
      </c>
      <c r="N96" s="16"/>
    </row>
    <row r="97" spans="2:14" ht="19.5" customHeight="1">
      <c r="B97" s="64" t="s">
        <v>20</v>
      </c>
      <c r="C97" s="64"/>
      <c r="D97" s="64"/>
      <c r="E97" s="64"/>
    </row>
    <row r="98" spans="2:14" ht="19.5" customHeight="1">
      <c r="B98" s="55" t="str">
        <f>"Điểm chuyên cần: " &amp; $J$9 &amp; " "</f>
        <v xml:space="preserve">Điểm chuyên cần: 0.1 </v>
      </c>
      <c r="C98" s="55"/>
      <c r="D98" s="55"/>
      <c r="E98" s="55"/>
    </row>
    <row r="99" spans="2:14" ht="19.5" customHeight="1">
      <c r="B99" s="55" t="str">
        <f>"Điểm trung bình kiểm tra: "&amp;$K$9&amp;""</f>
        <v>Điểm trung bình kiểm tra: 0.1</v>
      </c>
      <c r="C99" s="55"/>
      <c r="D99" s="55"/>
      <c r="E99" s="55"/>
    </row>
    <row r="100" spans="2:14" ht="19.5" customHeight="1">
      <c r="B100" s="55" t="str">
        <f>"Điểm thí nghiệm, thực hành: "&amp;$L$9&amp;""</f>
        <v>Điểm thí nghiệm, thực hành: 0.2</v>
      </c>
      <c r="C100" s="55"/>
      <c r="D100" s="55"/>
      <c r="E100" s="55"/>
    </row>
    <row r="101" spans="2:14" ht="19.5" customHeight="1">
      <c r="B101" s="55" t="str">
        <f>"Điểm bài tập tiểu luận, seminar: "&amp;$M$9&amp;""</f>
        <v xml:space="preserve">Điểm bài tập tiểu luận, seminar: </v>
      </c>
      <c r="C101" s="55"/>
      <c r="D101" s="55"/>
      <c r="E101" s="55"/>
    </row>
    <row r="102" spans="2:14">
      <c r="C102" s="41"/>
      <c r="J102" s="56" t="s">
        <v>2844</v>
      </c>
      <c r="K102" s="56"/>
      <c r="L102" s="56"/>
      <c r="M102" s="56"/>
      <c r="N102" s="56"/>
    </row>
    <row r="103" spans="2:14" ht="32.25" customHeight="1">
      <c r="B103" s="57" t="s">
        <v>17</v>
      </c>
      <c r="C103" s="57"/>
      <c r="D103" s="57"/>
      <c r="E103" s="57"/>
      <c r="F103" s="41"/>
      <c r="G103" s="41"/>
      <c r="H103" s="41"/>
      <c r="I103" s="41"/>
      <c r="J103" s="57" t="s">
        <v>18</v>
      </c>
      <c r="K103" s="57"/>
      <c r="L103" s="57"/>
      <c r="M103" s="57"/>
      <c r="N103" s="57"/>
    </row>
    <row r="104" spans="2:14">
      <c r="C104" s="41"/>
    </row>
    <row r="105" spans="2:14">
      <c r="C105" s="41"/>
    </row>
    <row r="106" spans="2:14">
      <c r="C106" s="41"/>
    </row>
    <row r="107" spans="2:14">
      <c r="C107" s="41"/>
    </row>
    <row r="108" spans="2:14">
      <c r="C108" s="41"/>
    </row>
    <row r="109" spans="2:14">
      <c r="B109" s="58" t="s">
        <v>2834</v>
      </c>
      <c r="C109" s="58"/>
      <c r="D109" s="58"/>
      <c r="E109" s="58"/>
      <c r="J109" s="58" t="s">
        <v>2834</v>
      </c>
      <c r="K109" s="58"/>
      <c r="L109" s="58"/>
      <c r="M109" s="58"/>
      <c r="N109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5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100:E100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7:E97"/>
    <mergeCell ref="B98:E98"/>
    <mergeCell ref="B99:E99"/>
    <mergeCell ref="L7:L8"/>
    <mergeCell ref="M7:M8"/>
    <mergeCell ref="B101:E101"/>
    <mergeCell ref="J102:N102"/>
    <mergeCell ref="B103:E103"/>
    <mergeCell ref="J103:N103"/>
    <mergeCell ref="J109:N109"/>
    <mergeCell ref="B109:E109"/>
  </mergeCells>
  <conditionalFormatting sqref="J10:M96">
    <cfRule type="cellIs" dxfId="17" priority="61" stopIfTrue="1" operator="greaterThan">
      <formula>10</formula>
    </cfRule>
    <cfRule type="cellIs" dxfId="16" priority="62" stopIfTrue="1" operator="greaterThan">
      <formula>10</formula>
    </cfRule>
    <cfRule type="cellIs" dxfId="15" priority="63" stopIfTrue="1" operator="greaterThan">
      <formula>10</formula>
    </cfRule>
    <cfRule type="cellIs" dxfId="14" priority="64" stopIfTrue="1" operator="greaterThan">
      <formula>10</formula>
    </cfRule>
  </conditionalFormatting>
  <conditionalFormatting sqref="C10:C38">
    <cfRule type="duplicateValues" dxfId="13" priority="65" stopIfTrue="1"/>
    <cfRule type="duplicateValues" dxfId="12" priority="66" stopIfTrue="1"/>
  </conditionalFormatting>
  <conditionalFormatting sqref="C61:C62">
    <cfRule type="duplicateValues" dxfId="11" priority="31" stopIfTrue="1"/>
    <cfRule type="duplicateValues" dxfId="10" priority="32" stopIfTrue="1"/>
  </conditionalFormatting>
  <conditionalFormatting sqref="C63:C64">
    <cfRule type="duplicateValues" dxfId="9" priority="25" stopIfTrue="1"/>
    <cfRule type="duplicateValues" dxfId="8" priority="26" stopIfTrue="1"/>
  </conditionalFormatting>
  <conditionalFormatting sqref="C39:C60 C65:C66">
    <cfRule type="duplicateValues" dxfId="7" priority="49" stopIfTrue="1"/>
    <cfRule type="duplicateValues" dxfId="6" priority="50" stopIfTrue="1"/>
  </conditionalFormatting>
  <conditionalFormatting sqref="C67">
    <cfRule type="duplicateValues" dxfId="5" priority="51" stopIfTrue="1"/>
    <cfRule type="duplicateValues" dxfId="4" priority="52" stopIfTrue="1"/>
  </conditionalFormatting>
  <conditionalFormatting sqref="C87:C89">
    <cfRule type="duplicateValues" dxfId="3" priority="5" stopIfTrue="1"/>
    <cfRule type="duplicateValues" dxfId="2" priority="6" stopIfTrue="1"/>
  </conditionalFormatting>
  <conditionalFormatting sqref="C68:C86 C90:C96">
    <cfRule type="duplicateValues" dxfId="1" priority="19" stopIfTrue="1"/>
    <cfRule type="duplicateValues" dxfId="0" priority="20" stopIfTrue="1"/>
  </conditionalFormatting>
  <dataValidations count="1">
    <dataValidation type="decimal" allowBlank="1" showInputMessage="1" showErrorMessage="1" error="Sai định dạng" sqref="J10:M96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B1:O107"/>
  <sheetViews>
    <sheetView tabSelected="1" workbookViewId="0">
      <selection activeCell="Q40" sqref="Q40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2" customWidth="1"/>
    <col min="4" max="4" width="18" style="34" customWidth="1"/>
    <col min="5" max="5" width="11.375" style="34" customWidth="1"/>
    <col min="6" max="6" width="13.625" style="1" customWidth="1"/>
    <col min="7" max="9" width="13.625" style="1" hidden="1" customWidth="1"/>
    <col min="10" max="12" width="4.375" style="1" customWidth="1"/>
    <col min="13" max="13" width="4.25" style="1" customWidth="1"/>
    <col min="14" max="14" width="25.125" style="1" customWidth="1"/>
    <col min="15" max="15" width="9" style="52"/>
    <col min="16" max="16384" width="9" style="1"/>
  </cols>
  <sheetData>
    <row r="1" spans="2:15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5" ht="15.75" customHeight="1">
      <c r="B2" s="86" t="s">
        <v>14</v>
      </c>
      <c r="C2" s="86"/>
      <c r="D2" s="90" t="s">
        <v>349</v>
      </c>
      <c r="E2" s="90"/>
      <c r="F2" s="26"/>
      <c r="G2" s="26"/>
      <c r="H2" s="26"/>
      <c r="I2" s="26"/>
      <c r="J2" s="85"/>
      <c r="K2" s="85"/>
      <c r="L2" s="85"/>
      <c r="M2" s="85"/>
      <c r="N2" s="85"/>
    </row>
    <row r="3" spans="2:15">
      <c r="B3" s="88" t="s">
        <v>15</v>
      </c>
      <c r="C3" s="88"/>
      <c r="D3" s="91" t="s">
        <v>2833</v>
      </c>
      <c r="E3" s="91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5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BAS1224_15</v>
      </c>
    </row>
    <row r="5" spans="2:15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40"/>
    </row>
    <row r="6" spans="2:15" ht="5.25" customHeight="1">
      <c r="B6" s="4"/>
      <c r="C6" s="8"/>
      <c r="D6" s="35"/>
      <c r="E6" s="35"/>
      <c r="F6" s="4"/>
      <c r="G6" s="4"/>
      <c r="H6" s="4"/>
      <c r="I6" s="4"/>
      <c r="J6" s="4"/>
      <c r="K6" s="4"/>
      <c r="L6" s="4"/>
      <c r="M6" s="4"/>
      <c r="N6" s="2"/>
    </row>
    <row r="7" spans="2:15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5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  <c r="O8" s="1"/>
    </row>
    <row r="9" spans="2:15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0">
        <v>0.1</v>
      </c>
      <c r="K9" s="50">
        <v>0.1</v>
      </c>
      <c r="L9" s="50">
        <v>0.2</v>
      </c>
      <c r="M9" s="5"/>
      <c r="N9" s="61"/>
    </row>
    <row r="10" spans="2:15" ht="24.95" customHeight="1">
      <c r="B10" s="13">
        <v>1</v>
      </c>
      <c r="C10" s="21" t="s">
        <v>946</v>
      </c>
      <c r="D10" s="36" t="s">
        <v>947</v>
      </c>
      <c r="E10" s="37" t="s">
        <v>27</v>
      </c>
      <c r="F10" s="19" t="s">
        <v>38</v>
      </c>
      <c r="G10" s="19" t="s">
        <v>397</v>
      </c>
      <c r="H10" s="19">
        <v>4</v>
      </c>
      <c r="I10" s="19" t="s">
        <v>948</v>
      </c>
      <c r="J10" s="17">
        <v>10</v>
      </c>
      <c r="K10" s="17">
        <v>9</v>
      </c>
      <c r="L10" s="17">
        <v>9.5</v>
      </c>
      <c r="M10" s="17" t="s">
        <v>13</v>
      </c>
      <c r="N10" s="14" t="str">
        <f>+IF(OR($J10=0,$K10=0,$L10=0,$M10=0),"Không đủ ĐKDT","")</f>
        <v/>
      </c>
    </row>
    <row r="11" spans="2:15" ht="24.95" customHeight="1">
      <c r="B11" s="15">
        <v>2</v>
      </c>
      <c r="C11" s="22" t="s">
        <v>949</v>
      </c>
      <c r="D11" s="38" t="s">
        <v>950</v>
      </c>
      <c r="E11" s="39" t="s">
        <v>27</v>
      </c>
      <c r="F11" s="20" t="s">
        <v>432</v>
      </c>
      <c r="G11" s="20" t="s">
        <v>397</v>
      </c>
      <c r="H11" s="20">
        <v>4</v>
      </c>
      <c r="I11" s="20" t="s">
        <v>948</v>
      </c>
      <c r="J11" s="18">
        <v>6</v>
      </c>
      <c r="K11" s="18">
        <v>3.5</v>
      </c>
      <c r="L11" s="18">
        <v>8</v>
      </c>
      <c r="M11" s="18" t="s">
        <v>13</v>
      </c>
      <c r="N11" s="16"/>
    </row>
    <row r="12" spans="2:15" ht="24.95" customHeight="1">
      <c r="B12" s="15">
        <v>3</v>
      </c>
      <c r="C12" s="22" t="s">
        <v>951</v>
      </c>
      <c r="D12" s="38" t="s">
        <v>175</v>
      </c>
      <c r="E12" s="39" t="s">
        <v>27</v>
      </c>
      <c r="F12" s="20" t="s">
        <v>43</v>
      </c>
      <c r="G12" s="20" t="s">
        <v>397</v>
      </c>
      <c r="H12" s="20">
        <v>4</v>
      </c>
      <c r="I12" s="20" t="s">
        <v>948</v>
      </c>
      <c r="J12" s="18">
        <v>9.5</v>
      </c>
      <c r="K12" s="18">
        <v>10</v>
      </c>
      <c r="L12" s="18">
        <v>10</v>
      </c>
      <c r="M12" s="18" t="s">
        <v>13</v>
      </c>
      <c r="N12" s="16"/>
    </row>
    <row r="13" spans="2:15" ht="24.95" customHeight="1">
      <c r="B13" s="15">
        <v>4</v>
      </c>
      <c r="C13" s="22" t="s">
        <v>952</v>
      </c>
      <c r="D13" s="38" t="s">
        <v>302</v>
      </c>
      <c r="E13" s="39" t="s">
        <v>27</v>
      </c>
      <c r="F13" s="20" t="s">
        <v>30</v>
      </c>
      <c r="G13" s="20" t="s">
        <v>397</v>
      </c>
      <c r="H13" s="20">
        <v>4</v>
      </c>
      <c r="I13" s="20" t="s">
        <v>948</v>
      </c>
      <c r="J13" s="18">
        <v>10</v>
      </c>
      <c r="K13" s="18">
        <v>10</v>
      </c>
      <c r="L13" s="18">
        <v>10</v>
      </c>
      <c r="M13" s="18" t="s">
        <v>13</v>
      </c>
      <c r="N13" s="16" t="str">
        <f t="shared" ref="N13:N36" si="0">+IF(OR($J13=0,$K13=0,$L13=0,$M13=0),"Không đủ ĐKDT","")</f>
        <v/>
      </c>
    </row>
    <row r="14" spans="2:15" ht="24.95" customHeight="1">
      <c r="B14" s="15">
        <v>5</v>
      </c>
      <c r="C14" s="22" t="s">
        <v>953</v>
      </c>
      <c r="D14" s="38" t="s">
        <v>954</v>
      </c>
      <c r="E14" s="39" t="s">
        <v>27</v>
      </c>
      <c r="F14" s="20" t="s">
        <v>52</v>
      </c>
      <c r="G14" s="20" t="s">
        <v>397</v>
      </c>
      <c r="H14" s="20">
        <v>4</v>
      </c>
      <c r="I14" s="20" t="s">
        <v>948</v>
      </c>
      <c r="J14" s="18">
        <v>10</v>
      </c>
      <c r="K14" s="18">
        <v>10</v>
      </c>
      <c r="L14" s="18">
        <v>8</v>
      </c>
      <c r="M14" s="18" t="s">
        <v>13</v>
      </c>
      <c r="N14" s="16" t="str">
        <f t="shared" si="0"/>
        <v/>
      </c>
    </row>
    <row r="15" spans="2:15" ht="24.95" customHeight="1">
      <c r="B15" s="15">
        <v>6</v>
      </c>
      <c r="C15" s="22" t="s">
        <v>955</v>
      </c>
      <c r="D15" s="38" t="s">
        <v>956</v>
      </c>
      <c r="E15" s="39" t="s">
        <v>957</v>
      </c>
      <c r="F15" s="20" t="s">
        <v>696</v>
      </c>
      <c r="G15" s="20" t="s">
        <v>397</v>
      </c>
      <c r="H15" s="20">
        <v>4</v>
      </c>
      <c r="I15" s="20" t="s">
        <v>948</v>
      </c>
      <c r="J15" s="18">
        <v>10</v>
      </c>
      <c r="K15" s="18">
        <v>10</v>
      </c>
      <c r="L15" s="18">
        <v>9.5</v>
      </c>
      <c r="M15" s="18" t="s">
        <v>13</v>
      </c>
      <c r="N15" s="16"/>
    </row>
    <row r="16" spans="2:15" ht="24.95" customHeight="1">
      <c r="B16" s="15">
        <v>7</v>
      </c>
      <c r="C16" s="22" t="s">
        <v>958</v>
      </c>
      <c r="D16" s="38" t="s">
        <v>959</v>
      </c>
      <c r="E16" s="39" t="s">
        <v>960</v>
      </c>
      <c r="F16" s="20" t="s">
        <v>961</v>
      </c>
      <c r="G16" s="20" t="s">
        <v>397</v>
      </c>
      <c r="H16" s="20">
        <v>4</v>
      </c>
      <c r="I16" s="20" t="s">
        <v>948</v>
      </c>
      <c r="J16" s="18">
        <v>10</v>
      </c>
      <c r="K16" s="18">
        <v>9.5</v>
      </c>
      <c r="L16" s="18">
        <v>7.5</v>
      </c>
      <c r="M16" s="18" t="s">
        <v>13</v>
      </c>
      <c r="N16" s="16"/>
    </row>
    <row r="17" spans="2:14" ht="24.95" customHeight="1">
      <c r="B17" s="15">
        <v>8</v>
      </c>
      <c r="C17" s="22" t="s">
        <v>962</v>
      </c>
      <c r="D17" s="38" t="s">
        <v>963</v>
      </c>
      <c r="E17" s="39" t="s">
        <v>964</v>
      </c>
      <c r="F17" s="20" t="s">
        <v>468</v>
      </c>
      <c r="G17" s="20" t="s">
        <v>397</v>
      </c>
      <c r="H17" s="20">
        <v>4</v>
      </c>
      <c r="I17" s="20" t="s">
        <v>948</v>
      </c>
      <c r="J17" s="18">
        <v>9</v>
      </c>
      <c r="K17" s="18">
        <v>10</v>
      </c>
      <c r="L17" s="18">
        <v>8.5</v>
      </c>
      <c r="M17" s="18" t="s">
        <v>13</v>
      </c>
      <c r="N17" s="16"/>
    </row>
    <row r="18" spans="2:14" ht="24.95" customHeight="1">
      <c r="B18" s="15">
        <v>9</v>
      </c>
      <c r="C18" s="22" t="s">
        <v>965</v>
      </c>
      <c r="D18" s="38" t="s">
        <v>248</v>
      </c>
      <c r="E18" s="39" t="s">
        <v>180</v>
      </c>
      <c r="F18" s="20" t="s">
        <v>696</v>
      </c>
      <c r="G18" s="20" t="s">
        <v>397</v>
      </c>
      <c r="H18" s="20">
        <v>4</v>
      </c>
      <c r="I18" s="20" t="s">
        <v>948</v>
      </c>
      <c r="J18" s="18">
        <v>9.5</v>
      </c>
      <c r="K18" s="18">
        <v>10</v>
      </c>
      <c r="L18" s="18">
        <v>8.5</v>
      </c>
      <c r="M18" s="18" t="s">
        <v>13</v>
      </c>
      <c r="N18" s="16"/>
    </row>
    <row r="19" spans="2:14" ht="24.95" customHeight="1">
      <c r="B19" s="15">
        <v>10</v>
      </c>
      <c r="C19" s="22" t="s">
        <v>966</v>
      </c>
      <c r="D19" s="38" t="s">
        <v>967</v>
      </c>
      <c r="E19" s="39" t="s">
        <v>180</v>
      </c>
      <c r="F19" s="20" t="s">
        <v>410</v>
      </c>
      <c r="G19" s="20" t="s">
        <v>397</v>
      </c>
      <c r="H19" s="20">
        <v>4</v>
      </c>
      <c r="I19" s="20" t="s">
        <v>948</v>
      </c>
      <c r="J19" s="18">
        <v>10</v>
      </c>
      <c r="K19" s="18">
        <v>9.5</v>
      </c>
      <c r="L19" s="18">
        <v>9.5</v>
      </c>
      <c r="M19" s="18" t="s">
        <v>13</v>
      </c>
      <c r="N19" s="16" t="str">
        <f t="shared" si="0"/>
        <v/>
      </c>
    </row>
    <row r="20" spans="2:14" ht="24.95" customHeight="1">
      <c r="B20" s="15">
        <v>11</v>
      </c>
      <c r="C20" s="22" t="s">
        <v>968</v>
      </c>
      <c r="D20" s="38" t="s">
        <v>969</v>
      </c>
      <c r="E20" s="39" t="s">
        <v>970</v>
      </c>
      <c r="F20" s="20" t="s">
        <v>40</v>
      </c>
      <c r="G20" s="20" t="s">
        <v>397</v>
      </c>
      <c r="H20" s="20">
        <v>4</v>
      </c>
      <c r="I20" s="20" t="s">
        <v>948</v>
      </c>
      <c r="J20" s="18">
        <v>10</v>
      </c>
      <c r="K20" s="18">
        <v>10</v>
      </c>
      <c r="L20" s="18">
        <v>10</v>
      </c>
      <c r="M20" s="18" t="s">
        <v>13</v>
      </c>
      <c r="N20" s="16" t="s">
        <v>2835</v>
      </c>
    </row>
    <row r="21" spans="2:14" ht="24.95" customHeight="1">
      <c r="B21" s="15">
        <v>12</v>
      </c>
      <c r="C21" s="22" t="s">
        <v>971</v>
      </c>
      <c r="D21" s="38" t="s">
        <v>70</v>
      </c>
      <c r="E21" s="39" t="s">
        <v>134</v>
      </c>
      <c r="F21" s="20" t="s">
        <v>456</v>
      </c>
      <c r="G21" s="20" t="s">
        <v>397</v>
      </c>
      <c r="H21" s="20">
        <v>4</v>
      </c>
      <c r="I21" s="20" t="s">
        <v>948</v>
      </c>
      <c r="J21" s="18">
        <v>10</v>
      </c>
      <c r="K21" s="18">
        <v>10</v>
      </c>
      <c r="L21" s="18">
        <v>9.5</v>
      </c>
      <c r="M21" s="18" t="s">
        <v>13</v>
      </c>
      <c r="N21" s="16" t="str">
        <f t="shared" si="0"/>
        <v/>
      </c>
    </row>
    <row r="22" spans="2:14" ht="24.95" customHeight="1">
      <c r="B22" s="15">
        <v>13</v>
      </c>
      <c r="C22" s="22" t="s">
        <v>972</v>
      </c>
      <c r="D22" s="38" t="s">
        <v>973</v>
      </c>
      <c r="E22" s="39" t="s">
        <v>36</v>
      </c>
      <c r="F22" s="20" t="s">
        <v>974</v>
      </c>
      <c r="G22" s="20" t="s">
        <v>397</v>
      </c>
      <c r="H22" s="20">
        <v>4</v>
      </c>
      <c r="I22" s="20" t="s">
        <v>948</v>
      </c>
      <c r="J22" s="18">
        <v>9</v>
      </c>
      <c r="K22" s="18">
        <v>9</v>
      </c>
      <c r="L22" s="18">
        <v>7</v>
      </c>
      <c r="M22" s="18" t="s">
        <v>13</v>
      </c>
      <c r="N22" s="16"/>
    </row>
    <row r="23" spans="2:14" ht="24.95" customHeight="1">
      <c r="B23" s="15">
        <v>14</v>
      </c>
      <c r="C23" s="22" t="s">
        <v>975</v>
      </c>
      <c r="D23" s="38" t="s">
        <v>290</v>
      </c>
      <c r="E23" s="39" t="s">
        <v>36</v>
      </c>
      <c r="F23" s="20" t="s">
        <v>683</v>
      </c>
      <c r="G23" s="20" t="s">
        <v>397</v>
      </c>
      <c r="H23" s="20">
        <v>4</v>
      </c>
      <c r="I23" s="20" t="s">
        <v>948</v>
      </c>
      <c r="J23" s="18">
        <v>8.5</v>
      </c>
      <c r="K23" s="18">
        <v>8</v>
      </c>
      <c r="L23" s="18">
        <v>7.5</v>
      </c>
      <c r="M23" s="18" t="s">
        <v>13</v>
      </c>
      <c r="N23" s="16"/>
    </row>
    <row r="24" spans="2:14" ht="24.95" customHeight="1">
      <c r="B24" s="15">
        <v>15</v>
      </c>
      <c r="C24" s="22" t="s">
        <v>976</v>
      </c>
      <c r="D24" s="38" t="s">
        <v>76</v>
      </c>
      <c r="E24" s="39" t="s">
        <v>36</v>
      </c>
      <c r="F24" s="20" t="s">
        <v>692</v>
      </c>
      <c r="G24" s="20" t="s">
        <v>397</v>
      </c>
      <c r="H24" s="20">
        <v>4</v>
      </c>
      <c r="I24" s="20" t="s">
        <v>948</v>
      </c>
      <c r="J24" s="18">
        <v>7</v>
      </c>
      <c r="K24" s="18">
        <v>8.5</v>
      </c>
      <c r="L24" s="18">
        <v>7.5</v>
      </c>
      <c r="M24" s="18" t="s">
        <v>13</v>
      </c>
      <c r="N24" s="16"/>
    </row>
    <row r="25" spans="2:14" ht="24.95" customHeight="1">
      <c r="B25" s="15">
        <v>16</v>
      </c>
      <c r="C25" s="22" t="s">
        <v>977</v>
      </c>
      <c r="D25" s="38" t="s">
        <v>978</v>
      </c>
      <c r="E25" s="39" t="s">
        <v>135</v>
      </c>
      <c r="F25" s="20" t="s">
        <v>82</v>
      </c>
      <c r="G25" s="20" t="s">
        <v>397</v>
      </c>
      <c r="H25" s="20">
        <v>4</v>
      </c>
      <c r="I25" s="20" t="s">
        <v>948</v>
      </c>
      <c r="J25" s="18">
        <v>8.5</v>
      </c>
      <c r="K25" s="18">
        <v>7</v>
      </c>
      <c r="L25" s="18">
        <v>7.5</v>
      </c>
      <c r="M25" s="18" t="s">
        <v>13</v>
      </c>
      <c r="N25" s="16"/>
    </row>
    <row r="26" spans="2:14" ht="24.95" customHeight="1">
      <c r="B26" s="15">
        <v>17</v>
      </c>
      <c r="C26" s="22" t="s">
        <v>979</v>
      </c>
      <c r="D26" s="38" t="s">
        <v>249</v>
      </c>
      <c r="E26" s="39" t="s">
        <v>136</v>
      </c>
      <c r="F26" s="20" t="s">
        <v>420</v>
      </c>
      <c r="G26" s="20" t="s">
        <v>397</v>
      </c>
      <c r="H26" s="20">
        <v>4</v>
      </c>
      <c r="I26" s="20" t="s">
        <v>948</v>
      </c>
      <c r="J26" s="18">
        <v>10</v>
      </c>
      <c r="K26" s="18">
        <v>10</v>
      </c>
      <c r="L26" s="18">
        <v>9.5</v>
      </c>
      <c r="M26" s="18" t="s">
        <v>13</v>
      </c>
      <c r="N26" s="16" t="str">
        <f t="shared" si="0"/>
        <v/>
      </c>
    </row>
    <row r="27" spans="2:14" ht="24.95" customHeight="1">
      <c r="B27" s="15">
        <v>18</v>
      </c>
      <c r="C27" s="22" t="s">
        <v>980</v>
      </c>
      <c r="D27" s="38" t="s">
        <v>174</v>
      </c>
      <c r="E27" s="39" t="s">
        <v>136</v>
      </c>
      <c r="F27" s="20" t="s">
        <v>412</v>
      </c>
      <c r="G27" s="20" t="s">
        <v>397</v>
      </c>
      <c r="H27" s="20">
        <v>4</v>
      </c>
      <c r="I27" s="20" t="s">
        <v>948</v>
      </c>
      <c r="J27" s="18">
        <v>10</v>
      </c>
      <c r="K27" s="18">
        <v>10</v>
      </c>
      <c r="L27" s="18">
        <v>8.5</v>
      </c>
      <c r="M27" s="18" t="s">
        <v>13</v>
      </c>
      <c r="N27" s="16" t="str">
        <f t="shared" si="0"/>
        <v/>
      </c>
    </row>
    <row r="28" spans="2:14" ht="24.95" customHeight="1">
      <c r="B28" s="15">
        <v>19</v>
      </c>
      <c r="C28" s="22" t="s">
        <v>981</v>
      </c>
      <c r="D28" s="38" t="s">
        <v>434</v>
      </c>
      <c r="E28" s="39" t="s">
        <v>185</v>
      </c>
      <c r="F28" s="20" t="s">
        <v>701</v>
      </c>
      <c r="G28" s="20" t="s">
        <v>397</v>
      </c>
      <c r="H28" s="20">
        <v>4</v>
      </c>
      <c r="I28" s="20" t="s">
        <v>948</v>
      </c>
      <c r="J28" s="18">
        <v>10</v>
      </c>
      <c r="K28" s="18">
        <v>10</v>
      </c>
      <c r="L28" s="18">
        <v>9.5</v>
      </c>
      <c r="M28" s="18" t="s">
        <v>13</v>
      </c>
      <c r="N28" s="16"/>
    </row>
    <row r="29" spans="2:14" ht="24.95" customHeight="1">
      <c r="B29" s="15">
        <v>20</v>
      </c>
      <c r="C29" s="22" t="s">
        <v>982</v>
      </c>
      <c r="D29" s="38" t="s">
        <v>55</v>
      </c>
      <c r="E29" s="39" t="s">
        <v>233</v>
      </c>
      <c r="F29" s="20" t="s">
        <v>444</v>
      </c>
      <c r="G29" s="20" t="s">
        <v>397</v>
      </c>
      <c r="H29" s="20">
        <v>4</v>
      </c>
      <c r="I29" s="20" t="s">
        <v>948</v>
      </c>
      <c r="J29" s="18">
        <v>10</v>
      </c>
      <c r="K29" s="18">
        <v>10</v>
      </c>
      <c r="L29" s="18">
        <v>10</v>
      </c>
      <c r="M29" s="18" t="s">
        <v>13</v>
      </c>
      <c r="N29" s="16" t="s">
        <v>2854</v>
      </c>
    </row>
    <row r="30" spans="2:14" ht="24.95" customHeight="1">
      <c r="B30" s="15">
        <v>21</v>
      </c>
      <c r="C30" s="22" t="s">
        <v>983</v>
      </c>
      <c r="D30" s="38" t="s">
        <v>361</v>
      </c>
      <c r="E30" s="39" t="s">
        <v>268</v>
      </c>
      <c r="F30" s="20" t="s">
        <v>720</v>
      </c>
      <c r="G30" s="20" t="s">
        <v>397</v>
      </c>
      <c r="H30" s="20">
        <v>4</v>
      </c>
      <c r="I30" s="20" t="s">
        <v>948</v>
      </c>
      <c r="J30" s="18">
        <v>9.5</v>
      </c>
      <c r="K30" s="18">
        <v>10</v>
      </c>
      <c r="L30" s="18">
        <v>10</v>
      </c>
      <c r="M30" s="18" t="s">
        <v>13</v>
      </c>
      <c r="N30" s="16"/>
    </row>
    <row r="31" spans="2:14" ht="24.95" customHeight="1">
      <c r="B31" s="15">
        <v>22</v>
      </c>
      <c r="C31" s="22" t="s">
        <v>984</v>
      </c>
      <c r="D31" s="38" t="s">
        <v>985</v>
      </c>
      <c r="E31" s="39" t="s">
        <v>49</v>
      </c>
      <c r="F31" s="20" t="s">
        <v>410</v>
      </c>
      <c r="G31" s="20" t="s">
        <v>397</v>
      </c>
      <c r="H31" s="20">
        <v>4</v>
      </c>
      <c r="I31" s="20" t="s">
        <v>948</v>
      </c>
      <c r="J31" s="18">
        <v>9.5</v>
      </c>
      <c r="K31" s="18">
        <v>8</v>
      </c>
      <c r="L31" s="18">
        <v>9</v>
      </c>
      <c r="M31" s="18" t="s">
        <v>13</v>
      </c>
      <c r="N31" s="16"/>
    </row>
    <row r="32" spans="2:14" ht="24.95" customHeight="1">
      <c r="B32" s="15">
        <v>23</v>
      </c>
      <c r="C32" s="22" t="s">
        <v>986</v>
      </c>
      <c r="D32" s="38" t="s">
        <v>112</v>
      </c>
      <c r="E32" s="39" t="s">
        <v>49</v>
      </c>
      <c r="F32" s="20" t="s">
        <v>444</v>
      </c>
      <c r="G32" s="20" t="s">
        <v>397</v>
      </c>
      <c r="H32" s="20">
        <v>4</v>
      </c>
      <c r="I32" s="20" t="s">
        <v>948</v>
      </c>
      <c r="J32" s="18">
        <v>10</v>
      </c>
      <c r="K32" s="18">
        <v>10</v>
      </c>
      <c r="L32" s="18">
        <v>10</v>
      </c>
      <c r="M32" s="18" t="s">
        <v>13</v>
      </c>
      <c r="N32" s="16" t="str">
        <f t="shared" si="0"/>
        <v/>
      </c>
    </row>
    <row r="33" spans="2:15" ht="24.95" customHeight="1">
      <c r="B33" s="15">
        <v>24</v>
      </c>
      <c r="C33" s="22" t="s">
        <v>987</v>
      </c>
      <c r="D33" s="38" t="s">
        <v>988</v>
      </c>
      <c r="E33" s="39" t="s">
        <v>49</v>
      </c>
      <c r="F33" s="20" t="s">
        <v>43</v>
      </c>
      <c r="G33" s="20" t="s">
        <v>397</v>
      </c>
      <c r="H33" s="20">
        <v>4</v>
      </c>
      <c r="I33" s="20" t="s">
        <v>948</v>
      </c>
      <c r="J33" s="18">
        <v>8.5</v>
      </c>
      <c r="K33" s="18">
        <v>10</v>
      </c>
      <c r="L33" s="18">
        <v>8.5</v>
      </c>
      <c r="M33" s="18" t="s">
        <v>13</v>
      </c>
      <c r="N33" s="16"/>
    </row>
    <row r="34" spans="2:15" ht="24.95" customHeight="1">
      <c r="B34" s="15">
        <v>25</v>
      </c>
      <c r="C34" s="22" t="s">
        <v>989</v>
      </c>
      <c r="D34" s="38" t="s">
        <v>157</v>
      </c>
      <c r="E34" s="39" t="s">
        <v>49</v>
      </c>
      <c r="F34" s="20" t="s">
        <v>30</v>
      </c>
      <c r="G34" s="20" t="s">
        <v>397</v>
      </c>
      <c r="H34" s="20">
        <v>4</v>
      </c>
      <c r="I34" s="20" t="s">
        <v>948</v>
      </c>
      <c r="J34" s="18">
        <v>9</v>
      </c>
      <c r="K34" s="18">
        <v>9</v>
      </c>
      <c r="L34" s="18">
        <v>10</v>
      </c>
      <c r="M34" s="18" t="s">
        <v>13</v>
      </c>
      <c r="N34" s="16"/>
    </row>
    <row r="35" spans="2:15" ht="24.95" customHeight="1">
      <c r="B35" s="15">
        <v>26</v>
      </c>
      <c r="C35" s="22" t="s">
        <v>990</v>
      </c>
      <c r="D35" s="38" t="s">
        <v>236</v>
      </c>
      <c r="E35" s="39" t="s">
        <v>49</v>
      </c>
      <c r="F35" s="20" t="s">
        <v>756</v>
      </c>
      <c r="G35" s="20" t="s">
        <v>397</v>
      </c>
      <c r="H35" s="20">
        <v>4</v>
      </c>
      <c r="I35" s="20" t="s">
        <v>948</v>
      </c>
      <c r="J35" s="18">
        <v>10</v>
      </c>
      <c r="K35" s="18">
        <v>10</v>
      </c>
      <c r="L35" s="18">
        <v>10</v>
      </c>
      <c r="M35" s="18" t="s">
        <v>13</v>
      </c>
      <c r="N35" s="16"/>
    </row>
    <row r="36" spans="2:15" ht="24.95" customHeight="1">
      <c r="B36" s="15">
        <v>27</v>
      </c>
      <c r="C36" s="22" t="s">
        <v>991</v>
      </c>
      <c r="D36" s="38" t="s">
        <v>959</v>
      </c>
      <c r="E36" s="39" t="s">
        <v>341</v>
      </c>
      <c r="F36" s="20" t="s">
        <v>117</v>
      </c>
      <c r="G36" s="20" t="s">
        <v>397</v>
      </c>
      <c r="H36" s="20">
        <v>4</v>
      </c>
      <c r="I36" s="20" t="s">
        <v>948</v>
      </c>
      <c r="J36" s="18">
        <v>10</v>
      </c>
      <c r="K36" s="18">
        <v>9</v>
      </c>
      <c r="L36" s="18">
        <v>10</v>
      </c>
      <c r="M36" s="18" t="s">
        <v>13</v>
      </c>
      <c r="N36" s="16" t="str">
        <f t="shared" si="0"/>
        <v/>
      </c>
    </row>
    <row r="37" spans="2:15" ht="24.95" customHeight="1">
      <c r="B37" s="15">
        <v>28</v>
      </c>
      <c r="C37" s="22" t="s">
        <v>992</v>
      </c>
      <c r="D37" s="38" t="s">
        <v>993</v>
      </c>
      <c r="E37" s="39" t="s">
        <v>140</v>
      </c>
      <c r="F37" s="20" t="s">
        <v>720</v>
      </c>
      <c r="G37" s="20" t="s">
        <v>397</v>
      </c>
      <c r="H37" s="20">
        <v>4</v>
      </c>
      <c r="I37" s="20" t="s">
        <v>948</v>
      </c>
      <c r="J37" s="18">
        <v>8</v>
      </c>
      <c r="K37" s="18">
        <v>10</v>
      </c>
      <c r="L37" s="18">
        <v>6.5</v>
      </c>
      <c r="M37" s="18" t="s">
        <v>13</v>
      </c>
      <c r="N37" s="16"/>
    </row>
    <row r="38" spans="2:15" ht="24.95" customHeight="1">
      <c r="B38" s="15">
        <v>29</v>
      </c>
      <c r="C38" s="22" t="s">
        <v>994</v>
      </c>
      <c r="D38" s="38" t="s">
        <v>995</v>
      </c>
      <c r="E38" s="39" t="s">
        <v>140</v>
      </c>
      <c r="F38" s="20" t="s">
        <v>996</v>
      </c>
      <c r="G38" s="20" t="s">
        <v>397</v>
      </c>
      <c r="H38" s="20">
        <v>4</v>
      </c>
      <c r="I38" s="20" t="s">
        <v>948</v>
      </c>
      <c r="J38" s="18">
        <v>9</v>
      </c>
      <c r="K38" s="18">
        <v>10</v>
      </c>
      <c r="L38" s="18">
        <v>7</v>
      </c>
      <c r="M38" s="18" t="s">
        <v>13</v>
      </c>
      <c r="N38" s="16"/>
    </row>
    <row r="39" spans="2:15" ht="24.95" customHeight="1">
      <c r="B39" s="15">
        <v>30</v>
      </c>
      <c r="C39" s="21" t="s">
        <v>997</v>
      </c>
      <c r="D39" s="36" t="s">
        <v>76</v>
      </c>
      <c r="E39" s="37" t="s">
        <v>998</v>
      </c>
      <c r="F39" s="19" t="s">
        <v>690</v>
      </c>
      <c r="G39" s="19" t="s">
        <v>397</v>
      </c>
      <c r="H39" s="19">
        <v>4</v>
      </c>
      <c r="I39" s="19" t="s">
        <v>948</v>
      </c>
      <c r="J39" s="17">
        <v>10</v>
      </c>
      <c r="K39" s="17">
        <v>10</v>
      </c>
      <c r="L39" s="17">
        <v>10</v>
      </c>
      <c r="M39" s="17" t="s">
        <v>13</v>
      </c>
      <c r="N39" s="14" t="s">
        <v>2852</v>
      </c>
    </row>
    <row r="40" spans="2:15" ht="24.95" customHeight="1">
      <c r="B40" s="15">
        <v>31</v>
      </c>
      <c r="C40" s="22" t="s">
        <v>999</v>
      </c>
      <c r="D40" s="38" t="s">
        <v>167</v>
      </c>
      <c r="E40" s="39" t="s">
        <v>140</v>
      </c>
      <c r="F40" s="20" t="s">
        <v>756</v>
      </c>
      <c r="G40" s="20" t="s">
        <v>397</v>
      </c>
      <c r="H40" s="20">
        <v>4</v>
      </c>
      <c r="I40" s="20" t="s">
        <v>948</v>
      </c>
      <c r="J40" s="18">
        <v>10</v>
      </c>
      <c r="K40" s="18">
        <v>10</v>
      </c>
      <c r="L40" s="18">
        <v>9</v>
      </c>
      <c r="M40" s="18" t="s">
        <v>13</v>
      </c>
      <c r="N40" s="16" t="s">
        <v>2855</v>
      </c>
    </row>
    <row r="41" spans="2:15" ht="24.95" customHeight="1">
      <c r="B41" s="15">
        <v>32</v>
      </c>
      <c r="C41" s="22" t="s">
        <v>1000</v>
      </c>
      <c r="D41" s="38" t="s">
        <v>256</v>
      </c>
      <c r="E41" s="39" t="s">
        <v>140</v>
      </c>
      <c r="F41" s="20" t="s">
        <v>43</v>
      </c>
      <c r="G41" s="20" t="s">
        <v>397</v>
      </c>
      <c r="H41" s="20">
        <v>4</v>
      </c>
      <c r="I41" s="20" t="s">
        <v>948</v>
      </c>
      <c r="J41" s="18">
        <v>9</v>
      </c>
      <c r="K41" s="18">
        <v>10</v>
      </c>
      <c r="L41" s="18">
        <v>9.5</v>
      </c>
      <c r="M41" s="18" t="s">
        <v>13</v>
      </c>
      <c r="N41" s="16"/>
    </row>
    <row r="42" spans="2:15" ht="24.95" customHeight="1">
      <c r="B42" s="15">
        <v>33</v>
      </c>
      <c r="C42" s="22" t="s">
        <v>1001</v>
      </c>
      <c r="D42" s="38" t="s">
        <v>28</v>
      </c>
      <c r="E42" s="39" t="s">
        <v>51</v>
      </c>
      <c r="F42" s="20" t="s">
        <v>414</v>
      </c>
      <c r="G42" s="20" t="s">
        <v>397</v>
      </c>
      <c r="H42" s="20">
        <v>4</v>
      </c>
      <c r="I42" s="20" t="s">
        <v>948</v>
      </c>
      <c r="J42" s="18">
        <v>10</v>
      </c>
      <c r="K42" s="18">
        <v>10</v>
      </c>
      <c r="L42" s="18">
        <v>10</v>
      </c>
      <c r="M42" s="18" t="s">
        <v>13</v>
      </c>
      <c r="N42" s="16" t="s">
        <v>2858</v>
      </c>
    </row>
    <row r="43" spans="2:15" ht="24.95" customHeight="1">
      <c r="B43" s="15">
        <v>34</v>
      </c>
      <c r="C43" s="22" t="s">
        <v>1002</v>
      </c>
      <c r="D43" s="38" t="s">
        <v>76</v>
      </c>
      <c r="E43" s="39" t="s">
        <v>53</v>
      </c>
      <c r="F43" s="20" t="s">
        <v>420</v>
      </c>
      <c r="G43" s="20" t="s">
        <v>397</v>
      </c>
      <c r="H43" s="20">
        <v>4</v>
      </c>
      <c r="I43" s="20" t="s">
        <v>948</v>
      </c>
      <c r="J43" s="18">
        <v>10</v>
      </c>
      <c r="K43" s="18">
        <v>10</v>
      </c>
      <c r="L43" s="18">
        <v>10</v>
      </c>
      <c r="M43" s="18" t="s">
        <v>13</v>
      </c>
      <c r="N43" s="16" t="s">
        <v>2835</v>
      </c>
    </row>
    <row r="44" spans="2:15" ht="24.95" customHeight="1">
      <c r="B44" s="15">
        <v>35</v>
      </c>
      <c r="C44" s="22" t="s">
        <v>1003</v>
      </c>
      <c r="D44" s="38" t="s">
        <v>1004</v>
      </c>
      <c r="E44" s="39" t="s">
        <v>58</v>
      </c>
      <c r="F44" s="20" t="s">
        <v>43</v>
      </c>
      <c r="G44" s="20" t="s">
        <v>397</v>
      </c>
      <c r="H44" s="20">
        <v>4</v>
      </c>
      <c r="I44" s="20" t="s">
        <v>948</v>
      </c>
      <c r="J44" s="18">
        <v>10</v>
      </c>
      <c r="K44" s="18">
        <v>10</v>
      </c>
      <c r="L44" s="18">
        <v>10</v>
      </c>
      <c r="M44" s="18" t="s">
        <v>13</v>
      </c>
      <c r="N44" s="16"/>
    </row>
    <row r="45" spans="2:15" ht="24.95" customHeight="1">
      <c r="B45" s="15">
        <v>36</v>
      </c>
      <c r="C45" s="22" t="s">
        <v>1005</v>
      </c>
      <c r="D45" s="38" t="s">
        <v>434</v>
      </c>
      <c r="E45" s="39" t="s">
        <v>58</v>
      </c>
      <c r="F45" s="20" t="s">
        <v>410</v>
      </c>
      <c r="G45" s="20" t="s">
        <v>397</v>
      </c>
      <c r="H45" s="20">
        <v>4</v>
      </c>
      <c r="I45" s="20" t="s">
        <v>948</v>
      </c>
      <c r="J45" s="18">
        <v>10</v>
      </c>
      <c r="K45" s="18">
        <v>10</v>
      </c>
      <c r="L45" s="18">
        <v>10</v>
      </c>
      <c r="M45" s="18" t="s">
        <v>13</v>
      </c>
      <c r="N45" s="16" t="s">
        <v>2835</v>
      </c>
      <c r="O45" s="52">
        <v>0.25</v>
      </c>
    </row>
    <row r="46" spans="2:15" ht="24.95" customHeight="1">
      <c r="B46" s="15">
        <v>37</v>
      </c>
      <c r="C46" s="22" t="s">
        <v>1006</v>
      </c>
      <c r="D46" s="38" t="s">
        <v>1007</v>
      </c>
      <c r="E46" s="39" t="s">
        <v>58</v>
      </c>
      <c r="F46" s="20" t="s">
        <v>756</v>
      </c>
      <c r="G46" s="20" t="s">
        <v>397</v>
      </c>
      <c r="H46" s="20">
        <v>4</v>
      </c>
      <c r="I46" s="20" t="s">
        <v>948</v>
      </c>
      <c r="J46" s="18">
        <v>10</v>
      </c>
      <c r="K46" s="18">
        <v>10</v>
      </c>
      <c r="L46" s="18">
        <v>10</v>
      </c>
      <c r="M46" s="18" t="s">
        <v>13</v>
      </c>
      <c r="N46" s="16" t="s">
        <v>2846</v>
      </c>
      <c r="O46" s="52">
        <v>0.75</v>
      </c>
    </row>
    <row r="47" spans="2:15" ht="24.95" customHeight="1">
      <c r="B47" s="15">
        <v>38</v>
      </c>
      <c r="C47" s="22" t="s">
        <v>1008</v>
      </c>
      <c r="D47" s="38" t="s">
        <v>1009</v>
      </c>
      <c r="E47" s="39" t="s">
        <v>62</v>
      </c>
      <c r="F47" s="20" t="s">
        <v>405</v>
      </c>
      <c r="G47" s="20" t="s">
        <v>397</v>
      </c>
      <c r="H47" s="20">
        <v>4</v>
      </c>
      <c r="I47" s="20" t="s">
        <v>948</v>
      </c>
      <c r="J47" s="18">
        <v>10</v>
      </c>
      <c r="K47" s="18">
        <v>10</v>
      </c>
      <c r="L47" s="18">
        <v>9.5</v>
      </c>
      <c r="M47" s="18" t="s">
        <v>13</v>
      </c>
      <c r="N47" s="16"/>
    </row>
    <row r="48" spans="2:15" ht="24.95" customHeight="1">
      <c r="B48" s="15">
        <v>39</v>
      </c>
      <c r="C48" s="22" t="s">
        <v>1010</v>
      </c>
      <c r="D48" s="38" t="s">
        <v>386</v>
      </c>
      <c r="E48" s="39" t="s">
        <v>65</v>
      </c>
      <c r="F48" s="20" t="s">
        <v>692</v>
      </c>
      <c r="G48" s="20" t="s">
        <v>397</v>
      </c>
      <c r="H48" s="20">
        <v>4</v>
      </c>
      <c r="I48" s="20" t="s">
        <v>948</v>
      </c>
      <c r="J48" s="18">
        <v>10</v>
      </c>
      <c r="K48" s="18">
        <v>10</v>
      </c>
      <c r="L48" s="18">
        <v>10</v>
      </c>
      <c r="M48" s="18" t="s">
        <v>13</v>
      </c>
      <c r="N48" s="16" t="s">
        <v>2845</v>
      </c>
    </row>
    <row r="49" spans="2:14" ht="24.95" customHeight="1">
      <c r="B49" s="15">
        <v>40</v>
      </c>
      <c r="C49" s="22" t="s">
        <v>1011</v>
      </c>
      <c r="D49" s="38" t="s">
        <v>1012</v>
      </c>
      <c r="E49" s="39" t="s">
        <v>142</v>
      </c>
      <c r="F49" s="20" t="s">
        <v>701</v>
      </c>
      <c r="G49" s="20" t="s">
        <v>397</v>
      </c>
      <c r="H49" s="20">
        <v>4</v>
      </c>
      <c r="I49" s="20" t="s">
        <v>948</v>
      </c>
      <c r="J49" s="18">
        <v>10</v>
      </c>
      <c r="K49" s="18">
        <v>9</v>
      </c>
      <c r="L49" s="18">
        <v>7</v>
      </c>
      <c r="M49" s="18" t="s">
        <v>13</v>
      </c>
      <c r="N49" s="16" t="str">
        <f t="shared" ref="N49:N64" si="1">+IF(OR($J49=0,$K49=0,$L49=0,$M49=0),"Không đủ ĐKDT","")</f>
        <v/>
      </c>
    </row>
    <row r="50" spans="2:14" ht="24.95" customHeight="1">
      <c r="B50" s="15">
        <v>41</v>
      </c>
      <c r="C50" s="22" t="s">
        <v>1013</v>
      </c>
      <c r="D50" s="38" t="s">
        <v>1014</v>
      </c>
      <c r="E50" s="39" t="s">
        <v>142</v>
      </c>
      <c r="F50" s="20" t="s">
        <v>396</v>
      </c>
      <c r="G50" s="20" t="s">
        <v>397</v>
      </c>
      <c r="H50" s="20">
        <v>4</v>
      </c>
      <c r="I50" s="20" t="s">
        <v>948</v>
      </c>
      <c r="J50" s="18">
        <v>8.5</v>
      </c>
      <c r="K50" s="18">
        <v>8.5</v>
      </c>
      <c r="L50" s="18">
        <v>8</v>
      </c>
      <c r="M50" s="18" t="s">
        <v>13</v>
      </c>
      <c r="N50" s="16"/>
    </row>
    <row r="51" spans="2:14" ht="24.95" customHeight="1">
      <c r="B51" s="15">
        <v>42</v>
      </c>
      <c r="C51" s="22" t="s">
        <v>1015</v>
      </c>
      <c r="D51" s="38" t="s">
        <v>1016</v>
      </c>
      <c r="E51" s="39" t="s">
        <v>142</v>
      </c>
      <c r="F51" s="20" t="s">
        <v>43</v>
      </c>
      <c r="G51" s="20" t="s">
        <v>397</v>
      </c>
      <c r="H51" s="20">
        <v>4</v>
      </c>
      <c r="I51" s="20" t="s">
        <v>948</v>
      </c>
      <c r="J51" s="18">
        <v>9</v>
      </c>
      <c r="K51" s="18">
        <v>10</v>
      </c>
      <c r="L51" s="18">
        <v>10</v>
      </c>
      <c r="M51" s="18" t="s">
        <v>13</v>
      </c>
      <c r="N51" s="16"/>
    </row>
    <row r="52" spans="2:14" ht="24.95" customHeight="1">
      <c r="B52" s="15">
        <v>43</v>
      </c>
      <c r="C52" s="22" t="s">
        <v>1017</v>
      </c>
      <c r="D52" s="38" t="s">
        <v>70</v>
      </c>
      <c r="E52" s="39" t="s">
        <v>71</v>
      </c>
      <c r="F52" s="20" t="s">
        <v>52</v>
      </c>
      <c r="G52" s="20" t="s">
        <v>397</v>
      </c>
      <c r="H52" s="20">
        <v>4</v>
      </c>
      <c r="I52" s="20" t="s">
        <v>948</v>
      </c>
      <c r="J52" s="18">
        <v>10</v>
      </c>
      <c r="K52" s="18">
        <v>10</v>
      </c>
      <c r="L52" s="18">
        <v>9</v>
      </c>
      <c r="M52" s="18" t="s">
        <v>13</v>
      </c>
      <c r="N52" s="16" t="str">
        <f t="shared" si="1"/>
        <v/>
      </c>
    </row>
    <row r="53" spans="2:14" ht="24.95" customHeight="1">
      <c r="B53" s="15">
        <v>44</v>
      </c>
      <c r="C53" s="22" t="s">
        <v>1018</v>
      </c>
      <c r="D53" s="38" t="s">
        <v>1019</v>
      </c>
      <c r="E53" s="39" t="s">
        <v>72</v>
      </c>
      <c r="F53" s="20" t="s">
        <v>414</v>
      </c>
      <c r="G53" s="20" t="s">
        <v>397</v>
      </c>
      <c r="H53" s="20">
        <v>4</v>
      </c>
      <c r="I53" s="20" t="s">
        <v>948</v>
      </c>
      <c r="J53" s="18">
        <v>9.5</v>
      </c>
      <c r="K53" s="18">
        <v>10</v>
      </c>
      <c r="L53" s="18">
        <v>9</v>
      </c>
      <c r="M53" s="18" t="s">
        <v>13</v>
      </c>
      <c r="N53" s="16"/>
    </row>
    <row r="54" spans="2:14" ht="24.95" customHeight="1">
      <c r="B54" s="15">
        <v>45</v>
      </c>
      <c r="C54" s="22" t="s">
        <v>1020</v>
      </c>
      <c r="D54" s="38" t="s">
        <v>1021</v>
      </c>
      <c r="E54" s="39" t="s">
        <v>72</v>
      </c>
      <c r="F54" s="20" t="s">
        <v>82</v>
      </c>
      <c r="G54" s="20" t="s">
        <v>397</v>
      </c>
      <c r="H54" s="20">
        <v>4</v>
      </c>
      <c r="I54" s="20" t="s">
        <v>948</v>
      </c>
      <c r="J54" s="18">
        <v>9</v>
      </c>
      <c r="K54" s="18">
        <v>10</v>
      </c>
      <c r="L54" s="18">
        <v>10</v>
      </c>
      <c r="M54" s="18" t="s">
        <v>13</v>
      </c>
      <c r="N54" s="16"/>
    </row>
    <row r="55" spans="2:14" ht="24.95" customHeight="1">
      <c r="B55" s="15">
        <v>46</v>
      </c>
      <c r="C55" s="22" t="s">
        <v>1022</v>
      </c>
      <c r="D55" s="38" t="s">
        <v>184</v>
      </c>
      <c r="E55" s="39" t="s">
        <v>483</v>
      </c>
      <c r="F55" s="20" t="s">
        <v>687</v>
      </c>
      <c r="G55" s="20" t="s">
        <v>397</v>
      </c>
      <c r="H55" s="20">
        <v>4</v>
      </c>
      <c r="I55" s="20" t="s">
        <v>948</v>
      </c>
      <c r="J55" s="18">
        <v>10</v>
      </c>
      <c r="K55" s="18">
        <v>9.5</v>
      </c>
      <c r="L55" s="18">
        <v>10</v>
      </c>
      <c r="M55" s="18" t="s">
        <v>13</v>
      </c>
      <c r="N55" s="16" t="str">
        <f t="shared" si="1"/>
        <v/>
      </c>
    </row>
    <row r="56" spans="2:14" ht="24.95" customHeight="1">
      <c r="B56" s="15">
        <v>47</v>
      </c>
      <c r="C56" s="22" t="s">
        <v>1023</v>
      </c>
      <c r="D56" s="38" t="s">
        <v>1024</v>
      </c>
      <c r="E56" s="39" t="s">
        <v>73</v>
      </c>
      <c r="F56" s="20" t="s">
        <v>420</v>
      </c>
      <c r="G56" s="20" t="s">
        <v>397</v>
      </c>
      <c r="H56" s="20">
        <v>4</v>
      </c>
      <c r="I56" s="20" t="s">
        <v>948</v>
      </c>
      <c r="J56" s="18">
        <v>10</v>
      </c>
      <c r="K56" s="18">
        <v>9.5</v>
      </c>
      <c r="L56" s="18">
        <v>9.5</v>
      </c>
      <c r="M56" s="18" t="s">
        <v>13</v>
      </c>
      <c r="N56" s="16" t="str">
        <f t="shared" si="1"/>
        <v/>
      </c>
    </row>
    <row r="57" spans="2:14" ht="24.95" customHeight="1">
      <c r="B57" s="15">
        <v>48</v>
      </c>
      <c r="C57" s="22" t="s">
        <v>1025</v>
      </c>
      <c r="D57" s="38" t="s">
        <v>1026</v>
      </c>
      <c r="E57" s="39" t="s">
        <v>73</v>
      </c>
      <c r="F57" s="20" t="s">
        <v>38</v>
      </c>
      <c r="G57" s="20" t="s">
        <v>397</v>
      </c>
      <c r="H57" s="20">
        <v>4</v>
      </c>
      <c r="I57" s="20" t="s">
        <v>948</v>
      </c>
      <c r="J57" s="18">
        <v>10</v>
      </c>
      <c r="K57" s="18">
        <v>10</v>
      </c>
      <c r="L57" s="18">
        <v>9.5</v>
      </c>
      <c r="M57" s="18" t="s">
        <v>13</v>
      </c>
      <c r="N57" s="16" t="str">
        <f t="shared" si="1"/>
        <v/>
      </c>
    </row>
    <row r="58" spans="2:14" ht="24.95" customHeight="1">
      <c r="B58" s="15">
        <v>49</v>
      </c>
      <c r="C58" s="22" t="s">
        <v>1027</v>
      </c>
      <c r="D58" s="38" t="s">
        <v>1028</v>
      </c>
      <c r="E58" s="39" t="s">
        <v>73</v>
      </c>
      <c r="F58" s="20" t="s">
        <v>701</v>
      </c>
      <c r="G58" s="20" t="s">
        <v>397</v>
      </c>
      <c r="H58" s="20">
        <v>4</v>
      </c>
      <c r="I58" s="20" t="s">
        <v>948</v>
      </c>
      <c r="J58" s="18">
        <v>10</v>
      </c>
      <c r="K58" s="18">
        <v>10</v>
      </c>
      <c r="L58" s="18">
        <v>9</v>
      </c>
      <c r="M58" s="18" t="s">
        <v>13</v>
      </c>
      <c r="N58" s="16"/>
    </row>
    <row r="59" spans="2:14" ht="24.95" customHeight="1">
      <c r="B59" s="15">
        <v>50</v>
      </c>
      <c r="C59" s="22" t="s">
        <v>1029</v>
      </c>
      <c r="D59" s="38" t="s">
        <v>221</v>
      </c>
      <c r="E59" s="39" t="s">
        <v>75</v>
      </c>
      <c r="F59" s="20" t="s">
        <v>675</v>
      </c>
      <c r="G59" s="20" t="s">
        <v>397</v>
      </c>
      <c r="H59" s="20">
        <v>4</v>
      </c>
      <c r="I59" s="20" t="s">
        <v>948</v>
      </c>
      <c r="J59" s="18">
        <v>9</v>
      </c>
      <c r="K59" s="18">
        <v>8.5</v>
      </c>
      <c r="L59" s="18">
        <v>8</v>
      </c>
      <c r="M59" s="18" t="s">
        <v>13</v>
      </c>
      <c r="N59" s="16"/>
    </row>
    <row r="60" spans="2:14" ht="24.95" customHeight="1">
      <c r="B60" s="15">
        <v>51</v>
      </c>
      <c r="C60" s="22" t="s">
        <v>1030</v>
      </c>
      <c r="D60" s="38" t="s">
        <v>1031</v>
      </c>
      <c r="E60" s="39" t="s">
        <v>75</v>
      </c>
      <c r="F60" s="20" t="s">
        <v>687</v>
      </c>
      <c r="G60" s="20" t="s">
        <v>397</v>
      </c>
      <c r="H60" s="20">
        <v>4</v>
      </c>
      <c r="I60" s="20" t="s">
        <v>948</v>
      </c>
      <c r="J60" s="18">
        <v>10</v>
      </c>
      <c r="K60" s="18">
        <v>9.5</v>
      </c>
      <c r="L60" s="18">
        <v>9.5</v>
      </c>
      <c r="M60" s="18" t="s">
        <v>13</v>
      </c>
      <c r="N60" s="16" t="str">
        <f t="shared" si="1"/>
        <v/>
      </c>
    </row>
    <row r="61" spans="2:14" ht="24.95" customHeight="1">
      <c r="B61" s="15">
        <v>52</v>
      </c>
      <c r="C61" s="22" t="s">
        <v>1032</v>
      </c>
      <c r="D61" s="38" t="s">
        <v>70</v>
      </c>
      <c r="E61" s="39" t="s">
        <v>1033</v>
      </c>
      <c r="F61" s="20" t="s">
        <v>756</v>
      </c>
      <c r="G61" s="20" t="s">
        <v>397</v>
      </c>
      <c r="H61" s="20">
        <v>4</v>
      </c>
      <c r="I61" s="20" t="s">
        <v>948</v>
      </c>
      <c r="J61" s="18">
        <v>10</v>
      </c>
      <c r="K61" s="18">
        <v>10</v>
      </c>
      <c r="L61" s="18">
        <v>9.5</v>
      </c>
      <c r="M61" s="18" t="s">
        <v>13</v>
      </c>
      <c r="N61" s="16" t="str">
        <f t="shared" si="1"/>
        <v/>
      </c>
    </row>
    <row r="62" spans="2:14" ht="24.95" customHeight="1">
      <c r="B62" s="15">
        <v>53</v>
      </c>
      <c r="C62" s="22" t="s">
        <v>1034</v>
      </c>
      <c r="D62" s="38" t="s">
        <v>1035</v>
      </c>
      <c r="E62" s="39" t="s">
        <v>1036</v>
      </c>
      <c r="F62" s="20" t="s">
        <v>40</v>
      </c>
      <c r="G62" s="20" t="s">
        <v>397</v>
      </c>
      <c r="H62" s="20">
        <v>4</v>
      </c>
      <c r="I62" s="20" t="s">
        <v>948</v>
      </c>
      <c r="J62" s="18">
        <v>9</v>
      </c>
      <c r="K62" s="18">
        <v>10</v>
      </c>
      <c r="L62" s="18">
        <v>8.5</v>
      </c>
      <c r="M62" s="18" t="s">
        <v>13</v>
      </c>
      <c r="N62" s="16"/>
    </row>
    <row r="63" spans="2:14" ht="24.95" customHeight="1">
      <c r="B63" s="15">
        <v>54</v>
      </c>
      <c r="C63" s="22" t="s">
        <v>1037</v>
      </c>
      <c r="D63" s="38" t="s">
        <v>137</v>
      </c>
      <c r="E63" s="39" t="s">
        <v>77</v>
      </c>
      <c r="F63" s="20" t="s">
        <v>720</v>
      </c>
      <c r="G63" s="20" t="s">
        <v>397</v>
      </c>
      <c r="H63" s="20">
        <v>4</v>
      </c>
      <c r="I63" s="20" t="s">
        <v>948</v>
      </c>
      <c r="J63" s="18">
        <v>7.5</v>
      </c>
      <c r="K63" s="18">
        <v>10</v>
      </c>
      <c r="L63" s="18">
        <v>6.5</v>
      </c>
      <c r="M63" s="18" t="s">
        <v>13</v>
      </c>
      <c r="N63" s="16"/>
    </row>
    <row r="64" spans="2:14" ht="24.95" customHeight="1">
      <c r="B64" s="15">
        <v>55</v>
      </c>
      <c r="C64" s="22" t="s">
        <v>1038</v>
      </c>
      <c r="D64" s="38" t="s">
        <v>1039</v>
      </c>
      <c r="E64" s="39" t="s">
        <v>148</v>
      </c>
      <c r="F64" s="20" t="s">
        <v>52</v>
      </c>
      <c r="G64" s="20" t="s">
        <v>397</v>
      </c>
      <c r="H64" s="20">
        <v>4</v>
      </c>
      <c r="I64" s="20" t="s">
        <v>948</v>
      </c>
      <c r="J64" s="18">
        <v>10</v>
      </c>
      <c r="K64" s="18">
        <v>10</v>
      </c>
      <c r="L64" s="18">
        <v>9</v>
      </c>
      <c r="M64" s="18" t="s">
        <v>13</v>
      </c>
      <c r="N64" s="16" t="str">
        <f t="shared" si="1"/>
        <v/>
      </c>
    </row>
    <row r="65" spans="2:14" ht="24.95" customHeight="1">
      <c r="B65" s="15">
        <v>56</v>
      </c>
      <c r="C65" s="22" t="s">
        <v>1040</v>
      </c>
      <c r="D65" s="38" t="s">
        <v>1041</v>
      </c>
      <c r="E65" s="39" t="s">
        <v>149</v>
      </c>
      <c r="F65" s="20" t="s">
        <v>456</v>
      </c>
      <c r="G65" s="20" t="s">
        <v>397</v>
      </c>
      <c r="H65" s="20">
        <v>4</v>
      </c>
      <c r="I65" s="20" t="s">
        <v>948</v>
      </c>
      <c r="J65" s="18">
        <v>9</v>
      </c>
      <c r="K65" s="18">
        <v>9.5</v>
      </c>
      <c r="L65" s="18">
        <v>9.5</v>
      </c>
      <c r="M65" s="18" t="s">
        <v>13</v>
      </c>
      <c r="N65" s="16"/>
    </row>
    <row r="66" spans="2:14" ht="24.95" customHeight="1">
      <c r="B66" s="15">
        <v>57</v>
      </c>
      <c r="C66" s="22" t="s">
        <v>1042</v>
      </c>
      <c r="D66" s="38" t="s">
        <v>1043</v>
      </c>
      <c r="E66" s="39" t="s">
        <v>89</v>
      </c>
      <c r="F66" s="20" t="s">
        <v>444</v>
      </c>
      <c r="G66" s="20" t="s">
        <v>397</v>
      </c>
      <c r="H66" s="20">
        <v>4</v>
      </c>
      <c r="I66" s="20" t="s">
        <v>948</v>
      </c>
      <c r="J66" s="18">
        <v>10</v>
      </c>
      <c r="K66" s="18">
        <v>10</v>
      </c>
      <c r="L66" s="18">
        <v>8.5</v>
      </c>
      <c r="M66" s="18" t="s">
        <v>13</v>
      </c>
      <c r="N66" s="16"/>
    </row>
    <row r="67" spans="2:14" ht="24.95" customHeight="1">
      <c r="B67" s="15">
        <v>58</v>
      </c>
      <c r="C67" s="21" t="s">
        <v>1044</v>
      </c>
      <c r="D67" s="36" t="s">
        <v>112</v>
      </c>
      <c r="E67" s="37" t="s">
        <v>91</v>
      </c>
      <c r="F67" s="19" t="s">
        <v>420</v>
      </c>
      <c r="G67" s="19" t="s">
        <v>397</v>
      </c>
      <c r="H67" s="19">
        <v>4</v>
      </c>
      <c r="I67" s="19" t="s">
        <v>948</v>
      </c>
      <c r="J67" s="17">
        <v>9.5</v>
      </c>
      <c r="K67" s="17">
        <v>10</v>
      </c>
      <c r="L67" s="17">
        <v>9.5</v>
      </c>
      <c r="M67" s="17" t="s">
        <v>13</v>
      </c>
      <c r="N67" s="16"/>
    </row>
    <row r="68" spans="2:14" ht="24.95" customHeight="1">
      <c r="B68" s="15">
        <v>59</v>
      </c>
      <c r="C68" s="22" t="s">
        <v>1045</v>
      </c>
      <c r="D68" s="38" t="s">
        <v>222</v>
      </c>
      <c r="E68" s="39" t="s">
        <v>223</v>
      </c>
      <c r="F68" s="20" t="s">
        <v>43</v>
      </c>
      <c r="G68" s="20" t="s">
        <v>397</v>
      </c>
      <c r="H68" s="20">
        <v>4</v>
      </c>
      <c r="I68" s="20" t="s">
        <v>948</v>
      </c>
      <c r="J68" s="18">
        <v>9.5</v>
      </c>
      <c r="K68" s="18">
        <v>9</v>
      </c>
      <c r="L68" s="18">
        <v>8</v>
      </c>
      <c r="M68" s="18" t="s">
        <v>13</v>
      </c>
      <c r="N68" s="16"/>
    </row>
    <row r="69" spans="2:14" ht="24.95" customHeight="1">
      <c r="B69" s="15">
        <v>60</v>
      </c>
      <c r="C69" s="22" t="s">
        <v>1046</v>
      </c>
      <c r="D69" s="38" t="s">
        <v>1047</v>
      </c>
      <c r="E69" s="39" t="s">
        <v>352</v>
      </c>
      <c r="F69" s="20" t="s">
        <v>444</v>
      </c>
      <c r="G69" s="20" t="s">
        <v>397</v>
      </c>
      <c r="H69" s="20">
        <v>4</v>
      </c>
      <c r="I69" s="20" t="s">
        <v>948</v>
      </c>
      <c r="J69" s="18">
        <v>10</v>
      </c>
      <c r="K69" s="18">
        <v>10</v>
      </c>
      <c r="L69" s="18">
        <v>10</v>
      </c>
      <c r="M69" s="18" t="s">
        <v>13</v>
      </c>
      <c r="N69" s="16" t="str">
        <f t="shared" ref="N69:N93" si="2">+IF(OR($J69=0,$K69=0,$L69=0,$M69=0),"Không đủ ĐKDT","")</f>
        <v/>
      </c>
    </row>
    <row r="70" spans="2:14" ht="24.95" customHeight="1">
      <c r="B70" s="15">
        <v>61</v>
      </c>
      <c r="C70" s="22" t="s">
        <v>1048</v>
      </c>
      <c r="D70" s="38" t="s">
        <v>1049</v>
      </c>
      <c r="E70" s="39" t="s">
        <v>158</v>
      </c>
      <c r="F70" s="20" t="s">
        <v>701</v>
      </c>
      <c r="G70" s="20" t="s">
        <v>397</v>
      </c>
      <c r="H70" s="20">
        <v>4</v>
      </c>
      <c r="I70" s="20" t="s">
        <v>948</v>
      </c>
      <c r="J70" s="18">
        <v>10</v>
      </c>
      <c r="K70" s="18">
        <v>10</v>
      </c>
      <c r="L70" s="18">
        <v>9.5</v>
      </c>
      <c r="M70" s="18" t="s">
        <v>13</v>
      </c>
      <c r="N70" s="16" t="str">
        <f t="shared" si="2"/>
        <v/>
      </c>
    </row>
    <row r="71" spans="2:14" ht="24.95" customHeight="1">
      <c r="B71" s="15">
        <v>62</v>
      </c>
      <c r="C71" s="22" t="s">
        <v>1050</v>
      </c>
      <c r="D71" s="38" t="s">
        <v>780</v>
      </c>
      <c r="E71" s="39" t="s">
        <v>159</v>
      </c>
      <c r="F71" s="20" t="s">
        <v>432</v>
      </c>
      <c r="G71" s="20" t="s">
        <v>397</v>
      </c>
      <c r="H71" s="20">
        <v>4</v>
      </c>
      <c r="I71" s="20" t="s">
        <v>948</v>
      </c>
      <c r="J71" s="18">
        <v>10</v>
      </c>
      <c r="K71" s="18">
        <v>9</v>
      </c>
      <c r="L71" s="18">
        <v>8</v>
      </c>
      <c r="M71" s="18" t="s">
        <v>13</v>
      </c>
      <c r="N71" s="16" t="str">
        <f t="shared" si="2"/>
        <v/>
      </c>
    </row>
    <row r="72" spans="2:14" ht="24.95" customHeight="1">
      <c r="B72" s="15">
        <v>63</v>
      </c>
      <c r="C72" s="22" t="s">
        <v>109</v>
      </c>
      <c r="D72" s="38" t="s">
        <v>110</v>
      </c>
      <c r="E72" s="39" t="s">
        <v>111</v>
      </c>
      <c r="F72" s="20" t="s">
        <v>40</v>
      </c>
      <c r="G72" s="20" t="s">
        <v>397</v>
      </c>
      <c r="H72" s="20">
        <v>4</v>
      </c>
      <c r="I72" s="20" t="s">
        <v>948</v>
      </c>
      <c r="J72" s="18">
        <v>9.5</v>
      </c>
      <c r="K72" s="18">
        <v>9.5</v>
      </c>
      <c r="L72" s="18">
        <v>8</v>
      </c>
      <c r="M72" s="18" t="s">
        <v>13</v>
      </c>
      <c r="N72" s="16"/>
    </row>
    <row r="73" spans="2:14" ht="24.95" customHeight="1">
      <c r="B73" s="15">
        <v>64</v>
      </c>
      <c r="C73" s="22" t="s">
        <v>1051</v>
      </c>
      <c r="D73" s="38" t="s">
        <v>247</v>
      </c>
      <c r="E73" s="39" t="s">
        <v>113</v>
      </c>
      <c r="F73" s="20" t="s">
        <v>117</v>
      </c>
      <c r="G73" s="20" t="s">
        <v>397</v>
      </c>
      <c r="H73" s="20">
        <v>4</v>
      </c>
      <c r="I73" s="20" t="s">
        <v>948</v>
      </c>
      <c r="J73" s="18">
        <v>9</v>
      </c>
      <c r="K73" s="18">
        <v>10</v>
      </c>
      <c r="L73" s="18">
        <v>8.5</v>
      </c>
      <c r="M73" s="18" t="s">
        <v>13</v>
      </c>
      <c r="N73" s="16"/>
    </row>
    <row r="74" spans="2:14" ht="24.95" customHeight="1">
      <c r="B74" s="15">
        <v>65</v>
      </c>
      <c r="C74" s="22" t="s">
        <v>1052</v>
      </c>
      <c r="D74" s="38" t="s">
        <v>254</v>
      </c>
      <c r="E74" s="39" t="s">
        <v>1053</v>
      </c>
      <c r="F74" s="20" t="s">
        <v>412</v>
      </c>
      <c r="G74" s="20" t="s">
        <v>397</v>
      </c>
      <c r="H74" s="20">
        <v>4</v>
      </c>
      <c r="I74" s="20" t="s">
        <v>948</v>
      </c>
      <c r="J74" s="18">
        <v>7.5</v>
      </c>
      <c r="K74" s="18">
        <v>10</v>
      </c>
      <c r="L74" s="18">
        <v>8.5</v>
      </c>
      <c r="M74" s="18" t="s">
        <v>13</v>
      </c>
      <c r="N74" s="16"/>
    </row>
    <row r="75" spans="2:14" ht="24.95" customHeight="1">
      <c r="B75" s="15">
        <v>66</v>
      </c>
      <c r="C75" s="22" t="s">
        <v>1054</v>
      </c>
      <c r="D75" s="38" t="s">
        <v>316</v>
      </c>
      <c r="E75" s="39" t="s">
        <v>1055</v>
      </c>
      <c r="F75" s="20" t="s">
        <v>38</v>
      </c>
      <c r="G75" s="20" t="s">
        <v>397</v>
      </c>
      <c r="H75" s="20">
        <v>4</v>
      </c>
      <c r="I75" s="20" t="s">
        <v>948</v>
      </c>
      <c r="J75" s="18">
        <v>10</v>
      </c>
      <c r="K75" s="18">
        <v>10</v>
      </c>
      <c r="L75" s="18">
        <v>10</v>
      </c>
      <c r="M75" s="18" t="s">
        <v>13</v>
      </c>
      <c r="N75" s="16" t="str">
        <f t="shared" si="2"/>
        <v/>
      </c>
    </row>
    <row r="76" spans="2:14" ht="24.95" customHeight="1">
      <c r="B76" s="15">
        <v>67</v>
      </c>
      <c r="C76" s="22" t="s">
        <v>1056</v>
      </c>
      <c r="D76" s="38" t="s">
        <v>355</v>
      </c>
      <c r="E76" s="39" t="s">
        <v>353</v>
      </c>
      <c r="F76" s="20" t="s">
        <v>444</v>
      </c>
      <c r="G76" s="20" t="s">
        <v>397</v>
      </c>
      <c r="H76" s="20">
        <v>4</v>
      </c>
      <c r="I76" s="20" t="s">
        <v>948</v>
      </c>
      <c r="J76" s="18">
        <v>9.5</v>
      </c>
      <c r="K76" s="18">
        <v>10</v>
      </c>
      <c r="L76" s="18">
        <v>9.5</v>
      </c>
      <c r="M76" s="18" t="s">
        <v>13</v>
      </c>
      <c r="N76" s="16"/>
    </row>
    <row r="77" spans="2:14" ht="24.95" customHeight="1">
      <c r="B77" s="15">
        <v>68</v>
      </c>
      <c r="C77" s="22" t="s">
        <v>1057</v>
      </c>
      <c r="D77" s="38" t="s">
        <v>1058</v>
      </c>
      <c r="E77" s="39" t="s">
        <v>1059</v>
      </c>
      <c r="F77" s="20" t="s">
        <v>683</v>
      </c>
      <c r="G77" s="20" t="s">
        <v>397</v>
      </c>
      <c r="H77" s="20">
        <v>4</v>
      </c>
      <c r="I77" s="20" t="s">
        <v>948</v>
      </c>
      <c r="J77" s="18">
        <v>9</v>
      </c>
      <c r="K77" s="18">
        <v>10</v>
      </c>
      <c r="L77" s="18">
        <v>9.5</v>
      </c>
      <c r="M77" s="18" t="s">
        <v>13</v>
      </c>
      <c r="N77" s="16"/>
    </row>
    <row r="78" spans="2:14" ht="24.95" customHeight="1">
      <c r="B78" s="15">
        <v>69</v>
      </c>
      <c r="C78" s="22" t="s">
        <v>1060</v>
      </c>
      <c r="D78" s="38" t="s">
        <v>1061</v>
      </c>
      <c r="E78" s="39" t="s">
        <v>161</v>
      </c>
      <c r="F78" s="20" t="s">
        <v>396</v>
      </c>
      <c r="G78" s="20" t="s">
        <v>397</v>
      </c>
      <c r="H78" s="20">
        <v>4</v>
      </c>
      <c r="I78" s="20" t="s">
        <v>948</v>
      </c>
      <c r="J78" s="18">
        <v>10</v>
      </c>
      <c r="K78" s="18">
        <v>9.5</v>
      </c>
      <c r="L78" s="18">
        <v>10</v>
      </c>
      <c r="M78" s="18" t="s">
        <v>13</v>
      </c>
      <c r="N78" s="16" t="str">
        <f t="shared" si="2"/>
        <v/>
      </c>
    </row>
    <row r="79" spans="2:14" ht="24.95" customHeight="1">
      <c r="B79" s="15">
        <v>70</v>
      </c>
      <c r="C79" s="22" t="s">
        <v>1062</v>
      </c>
      <c r="D79" s="38" t="s">
        <v>175</v>
      </c>
      <c r="E79" s="39" t="s">
        <v>161</v>
      </c>
      <c r="F79" s="20" t="s">
        <v>687</v>
      </c>
      <c r="G79" s="20" t="s">
        <v>397</v>
      </c>
      <c r="H79" s="20">
        <v>4</v>
      </c>
      <c r="I79" s="20" t="s">
        <v>948</v>
      </c>
      <c r="J79" s="18">
        <v>8</v>
      </c>
      <c r="K79" s="18">
        <v>9</v>
      </c>
      <c r="L79" s="18">
        <v>7.5</v>
      </c>
      <c r="M79" s="18" t="s">
        <v>13</v>
      </c>
      <c r="N79" s="16"/>
    </row>
    <row r="80" spans="2:14" ht="24.95" customHeight="1">
      <c r="B80" s="15">
        <v>71</v>
      </c>
      <c r="C80" s="22" t="s">
        <v>1063</v>
      </c>
      <c r="D80" s="38" t="s">
        <v>1064</v>
      </c>
      <c r="E80" s="39" t="s">
        <v>161</v>
      </c>
      <c r="F80" s="20" t="s">
        <v>696</v>
      </c>
      <c r="G80" s="20" t="s">
        <v>397</v>
      </c>
      <c r="H80" s="20">
        <v>4</v>
      </c>
      <c r="I80" s="20" t="s">
        <v>948</v>
      </c>
      <c r="J80" s="18">
        <v>9.5</v>
      </c>
      <c r="K80" s="18">
        <v>9</v>
      </c>
      <c r="L80" s="18">
        <v>8</v>
      </c>
      <c r="M80" s="18" t="s">
        <v>13</v>
      </c>
      <c r="N80" s="16"/>
    </row>
    <row r="81" spans="2:15" ht="24.95" customHeight="1">
      <c r="B81" s="15">
        <v>72</v>
      </c>
      <c r="C81" s="22" t="s">
        <v>1065</v>
      </c>
      <c r="D81" s="38" t="s">
        <v>76</v>
      </c>
      <c r="E81" s="39" t="s">
        <v>791</v>
      </c>
      <c r="F81" s="20" t="s">
        <v>410</v>
      </c>
      <c r="G81" s="20" t="s">
        <v>397</v>
      </c>
      <c r="H81" s="20">
        <v>4</v>
      </c>
      <c r="I81" s="20" t="s">
        <v>948</v>
      </c>
      <c r="J81" s="18">
        <v>10</v>
      </c>
      <c r="K81" s="18">
        <v>10</v>
      </c>
      <c r="L81" s="18">
        <v>10</v>
      </c>
      <c r="M81" s="18" t="s">
        <v>13</v>
      </c>
      <c r="N81" s="16" t="s">
        <v>2852</v>
      </c>
    </row>
    <row r="82" spans="2:15" ht="24.95" customHeight="1">
      <c r="B82" s="15">
        <v>73</v>
      </c>
      <c r="C82" s="22" t="s">
        <v>1066</v>
      </c>
      <c r="D82" s="38" t="s">
        <v>139</v>
      </c>
      <c r="E82" s="39" t="s">
        <v>166</v>
      </c>
      <c r="F82" s="20" t="s">
        <v>456</v>
      </c>
      <c r="G82" s="20" t="s">
        <v>397</v>
      </c>
      <c r="H82" s="20">
        <v>4</v>
      </c>
      <c r="I82" s="20" t="s">
        <v>948</v>
      </c>
      <c r="J82" s="18">
        <v>10</v>
      </c>
      <c r="K82" s="18">
        <v>9.5</v>
      </c>
      <c r="L82" s="18">
        <v>9</v>
      </c>
      <c r="M82" s="18" t="s">
        <v>13</v>
      </c>
      <c r="N82" s="16" t="str">
        <f t="shared" si="2"/>
        <v/>
      </c>
    </row>
    <row r="83" spans="2:15" ht="24.95" customHeight="1">
      <c r="B83" s="15">
        <v>74</v>
      </c>
      <c r="C83" s="22" t="s">
        <v>1067</v>
      </c>
      <c r="D83" s="38" t="s">
        <v>127</v>
      </c>
      <c r="E83" s="39" t="s">
        <v>122</v>
      </c>
      <c r="F83" s="20" t="s">
        <v>82</v>
      </c>
      <c r="G83" s="20" t="s">
        <v>397</v>
      </c>
      <c r="H83" s="20">
        <v>4</v>
      </c>
      <c r="I83" s="20" t="s">
        <v>948</v>
      </c>
      <c r="J83" s="18">
        <v>10</v>
      </c>
      <c r="K83" s="18">
        <v>10</v>
      </c>
      <c r="L83" s="18">
        <v>9</v>
      </c>
      <c r="M83" s="18" t="s">
        <v>13</v>
      </c>
      <c r="N83" s="16" t="str">
        <f t="shared" si="2"/>
        <v/>
      </c>
    </row>
    <row r="84" spans="2:15" ht="24.95" customHeight="1">
      <c r="B84" s="15">
        <v>75</v>
      </c>
      <c r="C84" s="22" t="s">
        <v>121</v>
      </c>
      <c r="D84" s="38" t="s">
        <v>76</v>
      </c>
      <c r="E84" s="39" t="s">
        <v>122</v>
      </c>
      <c r="F84" s="20" t="s">
        <v>40</v>
      </c>
      <c r="G84" s="20" t="s">
        <v>397</v>
      </c>
      <c r="H84" s="20">
        <v>4</v>
      </c>
      <c r="I84" s="20" t="s">
        <v>948</v>
      </c>
      <c r="J84" s="18">
        <v>10</v>
      </c>
      <c r="K84" s="18">
        <v>10</v>
      </c>
      <c r="L84" s="18">
        <v>10</v>
      </c>
      <c r="M84" s="18" t="s">
        <v>13</v>
      </c>
      <c r="N84" s="16"/>
    </row>
    <row r="85" spans="2:15" ht="24.95" customHeight="1">
      <c r="B85" s="15">
        <v>76</v>
      </c>
      <c r="C85" s="22" t="s">
        <v>1068</v>
      </c>
      <c r="D85" s="38" t="s">
        <v>127</v>
      </c>
      <c r="E85" s="39" t="s">
        <v>128</v>
      </c>
      <c r="F85" s="20" t="s">
        <v>675</v>
      </c>
      <c r="G85" s="20" t="s">
        <v>397</v>
      </c>
      <c r="H85" s="20">
        <v>4</v>
      </c>
      <c r="I85" s="20" t="s">
        <v>948</v>
      </c>
      <c r="J85" s="18">
        <v>8.5</v>
      </c>
      <c r="K85" s="18">
        <v>10</v>
      </c>
      <c r="L85" s="18">
        <v>9</v>
      </c>
      <c r="M85" s="18" t="s">
        <v>13</v>
      </c>
      <c r="N85" s="16"/>
    </row>
    <row r="86" spans="2:15" ht="24.95" customHeight="1">
      <c r="B86" s="15">
        <v>77</v>
      </c>
      <c r="C86" s="22" t="s">
        <v>1069</v>
      </c>
      <c r="D86" s="38" t="s">
        <v>76</v>
      </c>
      <c r="E86" s="39" t="s">
        <v>128</v>
      </c>
      <c r="F86" s="20" t="s">
        <v>414</v>
      </c>
      <c r="G86" s="20" t="s">
        <v>397</v>
      </c>
      <c r="H86" s="20">
        <v>4</v>
      </c>
      <c r="I86" s="20" t="s">
        <v>948</v>
      </c>
      <c r="J86" s="18">
        <v>10</v>
      </c>
      <c r="K86" s="18">
        <v>10</v>
      </c>
      <c r="L86" s="18">
        <v>8.5</v>
      </c>
      <c r="M86" s="18" t="s">
        <v>13</v>
      </c>
      <c r="N86" s="16" t="str">
        <f t="shared" si="2"/>
        <v/>
      </c>
    </row>
    <row r="87" spans="2:15" ht="24.95" customHeight="1">
      <c r="B87" s="15">
        <v>78</v>
      </c>
      <c r="C87" s="22" t="s">
        <v>1070</v>
      </c>
      <c r="D87" s="38" t="s">
        <v>834</v>
      </c>
      <c r="E87" s="39" t="s">
        <v>128</v>
      </c>
      <c r="F87" s="20" t="s">
        <v>52</v>
      </c>
      <c r="G87" s="20" t="s">
        <v>397</v>
      </c>
      <c r="H87" s="20">
        <v>4</v>
      </c>
      <c r="I87" s="20" t="s">
        <v>948</v>
      </c>
      <c r="J87" s="18">
        <v>10</v>
      </c>
      <c r="K87" s="18">
        <v>10</v>
      </c>
      <c r="L87" s="18">
        <v>10</v>
      </c>
      <c r="M87" s="18" t="s">
        <v>13</v>
      </c>
      <c r="N87" s="16" t="s">
        <v>2853</v>
      </c>
    </row>
    <row r="88" spans="2:15" ht="24.95" customHeight="1">
      <c r="B88" s="15">
        <v>79</v>
      </c>
      <c r="C88" s="22" t="s">
        <v>1071</v>
      </c>
      <c r="D88" s="38" t="s">
        <v>200</v>
      </c>
      <c r="E88" s="39" t="s">
        <v>203</v>
      </c>
      <c r="F88" s="20" t="s">
        <v>696</v>
      </c>
      <c r="G88" s="20" t="s">
        <v>397</v>
      </c>
      <c r="H88" s="20">
        <v>4</v>
      </c>
      <c r="I88" s="20" t="s">
        <v>948</v>
      </c>
      <c r="J88" s="18">
        <v>9</v>
      </c>
      <c r="K88" s="18">
        <v>9.5</v>
      </c>
      <c r="L88" s="18">
        <v>7.5</v>
      </c>
      <c r="M88" s="18" t="s">
        <v>13</v>
      </c>
      <c r="N88" s="16"/>
    </row>
    <row r="89" spans="2:15" ht="24.95" customHeight="1">
      <c r="B89" s="15">
        <v>80</v>
      </c>
      <c r="C89" s="22" t="s">
        <v>1072</v>
      </c>
      <c r="D89" s="38" t="s">
        <v>70</v>
      </c>
      <c r="E89" s="39" t="s">
        <v>805</v>
      </c>
      <c r="F89" s="20" t="s">
        <v>675</v>
      </c>
      <c r="G89" s="20" t="s">
        <v>397</v>
      </c>
      <c r="H89" s="20">
        <v>4</v>
      </c>
      <c r="I89" s="20" t="s">
        <v>948</v>
      </c>
      <c r="J89" s="18">
        <v>9</v>
      </c>
      <c r="K89" s="18">
        <v>10</v>
      </c>
      <c r="L89" s="18">
        <v>8.5</v>
      </c>
      <c r="M89" s="18" t="s">
        <v>13</v>
      </c>
      <c r="N89" s="16"/>
    </row>
    <row r="90" spans="2:15" ht="24.95" customHeight="1">
      <c r="B90" s="15">
        <v>81</v>
      </c>
      <c r="C90" s="22" t="s">
        <v>129</v>
      </c>
      <c r="D90" s="38" t="s">
        <v>70</v>
      </c>
      <c r="E90" s="39" t="s">
        <v>130</v>
      </c>
      <c r="F90" s="20" t="s">
        <v>38</v>
      </c>
      <c r="G90" s="20" t="s">
        <v>397</v>
      </c>
      <c r="H90" s="20">
        <v>4</v>
      </c>
      <c r="I90" s="20" t="s">
        <v>948</v>
      </c>
      <c r="J90" s="18">
        <v>10</v>
      </c>
      <c r="K90" s="18">
        <v>10</v>
      </c>
      <c r="L90" s="18">
        <v>10</v>
      </c>
      <c r="M90" s="18" t="s">
        <v>13</v>
      </c>
      <c r="N90" s="16" t="s">
        <v>2838</v>
      </c>
      <c r="O90" s="52">
        <v>0.4</v>
      </c>
    </row>
    <row r="91" spans="2:15" ht="24.95" customHeight="1">
      <c r="B91" s="15">
        <v>82</v>
      </c>
      <c r="C91" s="22" t="s">
        <v>1073</v>
      </c>
      <c r="D91" s="38" t="s">
        <v>1074</v>
      </c>
      <c r="E91" s="39" t="s">
        <v>173</v>
      </c>
      <c r="F91" s="20" t="s">
        <v>420</v>
      </c>
      <c r="G91" s="20" t="s">
        <v>397</v>
      </c>
      <c r="H91" s="20">
        <v>4</v>
      </c>
      <c r="I91" s="20" t="s">
        <v>948</v>
      </c>
      <c r="J91" s="18">
        <v>9</v>
      </c>
      <c r="K91" s="18">
        <v>10</v>
      </c>
      <c r="L91" s="18">
        <v>8</v>
      </c>
      <c r="M91" s="18" t="s">
        <v>13</v>
      </c>
      <c r="N91" s="16"/>
    </row>
    <row r="92" spans="2:15" ht="24.95" customHeight="1">
      <c r="B92" s="15">
        <v>83</v>
      </c>
      <c r="C92" s="22" t="s">
        <v>1075</v>
      </c>
      <c r="D92" s="38" t="s">
        <v>283</v>
      </c>
      <c r="E92" s="39" t="s">
        <v>173</v>
      </c>
      <c r="F92" s="20" t="s">
        <v>444</v>
      </c>
      <c r="G92" s="20" t="s">
        <v>397</v>
      </c>
      <c r="H92" s="20">
        <v>4</v>
      </c>
      <c r="I92" s="20" t="s">
        <v>948</v>
      </c>
      <c r="J92" s="18">
        <v>10</v>
      </c>
      <c r="K92" s="18">
        <v>9.5</v>
      </c>
      <c r="L92" s="18">
        <v>8</v>
      </c>
      <c r="M92" s="18" t="s">
        <v>13</v>
      </c>
      <c r="N92" s="16" t="str">
        <f t="shared" si="2"/>
        <v/>
      </c>
    </row>
    <row r="93" spans="2:15" ht="24.95" customHeight="1">
      <c r="B93" s="15">
        <v>84</v>
      </c>
      <c r="C93" s="22" t="s">
        <v>1076</v>
      </c>
      <c r="D93" s="38" t="s">
        <v>37</v>
      </c>
      <c r="E93" s="39" t="s">
        <v>278</v>
      </c>
      <c r="F93" s="20" t="s">
        <v>690</v>
      </c>
      <c r="G93" s="20" t="s">
        <v>397</v>
      </c>
      <c r="H93" s="20">
        <v>4</v>
      </c>
      <c r="I93" s="20" t="s">
        <v>948</v>
      </c>
      <c r="J93" s="18">
        <v>10</v>
      </c>
      <c r="K93" s="18">
        <v>10</v>
      </c>
      <c r="L93" s="18">
        <v>8.5</v>
      </c>
      <c r="M93" s="18" t="s">
        <v>13</v>
      </c>
      <c r="N93" s="16" t="str">
        <f t="shared" si="2"/>
        <v/>
      </c>
    </row>
    <row r="94" spans="2:15" ht="24.95" customHeight="1">
      <c r="B94" s="15">
        <v>85</v>
      </c>
      <c r="C94" s="22" t="s">
        <v>1077</v>
      </c>
      <c r="D94" s="38" t="s">
        <v>336</v>
      </c>
      <c r="E94" s="39" t="s">
        <v>337</v>
      </c>
      <c r="F94" s="20" t="s">
        <v>687</v>
      </c>
      <c r="G94" s="20" t="s">
        <v>397</v>
      </c>
      <c r="H94" s="20">
        <v>4</v>
      </c>
      <c r="I94" s="20" t="s">
        <v>948</v>
      </c>
      <c r="J94" s="18">
        <v>10</v>
      </c>
      <c r="K94" s="18">
        <v>10</v>
      </c>
      <c r="L94" s="18">
        <v>10</v>
      </c>
      <c r="M94" s="18" t="s">
        <v>13</v>
      </c>
      <c r="N94" s="16"/>
    </row>
    <row r="95" spans="2:15" ht="19.5" customHeight="1">
      <c r="B95" s="64" t="s">
        <v>20</v>
      </c>
      <c r="C95" s="64"/>
      <c r="D95" s="64"/>
      <c r="E95" s="64"/>
    </row>
    <row r="96" spans="2:15" ht="19.5" customHeight="1">
      <c r="B96" s="55" t="str">
        <f>"Điểm chuyên cần: " &amp; $J$9 &amp; " "</f>
        <v xml:space="preserve">Điểm chuyên cần: 0.1 </v>
      </c>
      <c r="C96" s="55"/>
      <c r="D96" s="55"/>
      <c r="E96" s="55"/>
    </row>
    <row r="97" spans="2:14" ht="19.5" customHeight="1">
      <c r="B97" s="55" t="str">
        <f>"Điểm trung bình kiểm tra: "&amp;$K$9&amp;""</f>
        <v>Điểm trung bình kiểm tra: 0.1</v>
      </c>
      <c r="C97" s="55"/>
      <c r="D97" s="55"/>
      <c r="E97" s="55"/>
    </row>
    <row r="98" spans="2:14" ht="19.5" customHeight="1">
      <c r="B98" s="55" t="str">
        <f>"Điểm thí nghiệm, thực hành: "&amp;$L$9&amp;""</f>
        <v>Điểm thí nghiệm, thực hành: 0.2</v>
      </c>
      <c r="C98" s="55"/>
      <c r="D98" s="55"/>
      <c r="E98" s="55"/>
    </row>
    <row r="99" spans="2:14" ht="19.5" customHeight="1">
      <c r="B99" s="55" t="str">
        <f>"Điểm bài tập tiểu luận, seminar: "&amp;$M$9&amp;""</f>
        <v xml:space="preserve">Điểm bài tập tiểu luận, seminar: </v>
      </c>
      <c r="C99" s="55"/>
      <c r="D99" s="55"/>
      <c r="E99" s="55"/>
    </row>
    <row r="100" spans="2:14">
      <c r="C100" s="41"/>
      <c r="J100" s="56" t="s">
        <v>2844</v>
      </c>
      <c r="K100" s="56"/>
      <c r="L100" s="56"/>
      <c r="M100" s="56"/>
      <c r="N100" s="56"/>
    </row>
    <row r="101" spans="2:14" ht="32.25" customHeight="1">
      <c r="B101" s="57" t="s">
        <v>17</v>
      </c>
      <c r="C101" s="57"/>
      <c r="D101" s="57"/>
      <c r="E101" s="57"/>
      <c r="F101" s="41"/>
      <c r="G101" s="41"/>
      <c r="H101" s="41"/>
      <c r="I101" s="41"/>
      <c r="J101" s="57" t="s">
        <v>18</v>
      </c>
      <c r="K101" s="57"/>
      <c r="L101" s="57"/>
      <c r="M101" s="57"/>
      <c r="N101" s="57"/>
    </row>
    <row r="102" spans="2:14">
      <c r="C102" s="41"/>
    </row>
    <row r="103" spans="2:14">
      <c r="C103" s="41"/>
    </row>
    <row r="104" spans="2:14">
      <c r="C104" s="41"/>
    </row>
    <row r="105" spans="2:14">
      <c r="C105" s="41"/>
    </row>
    <row r="106" spans="2:14">
      <c r="C106" s="41"/>
    </row>
    <row r="107" spans="2:14">
      <c r="B107" s="58" t="s">
        <v>2834</v>
      </c>
      <c r="C107" s="58"/>
      <c r="D107" s="58"/>
      <c r="E107" s="58"/>
      <c r="J107" s="58" t="s">
        <v>2834</v>
      </c>
      <c r="K107" s="58"/>
      <c r="L107" s="58"/>
      <c r="M107" s="58"/>
      <c r="N107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5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8:E98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5:E95"/>
    <mergeCell ref="B96:E96"/>
    <mergeCell ref="B97:E97"/>
    <mergeCell ref="L7:L8"/>
    <mergeCell ref="M7:M8"/>
    <mergeCell ref="B99:E99"/>
    <mergeCell ref="J100:N100"/>
    <mergeCell ref="B101:E101"/>
    <mergeCell ref="J101:N101"/>
    <mergeCell ref="J107:N107"/>
    <mergeCell ref="B107:E107"/>
  </mergeCells>
  <conditionalFormatting sqref="J10:M94">
    <cfRule type="cellIs" dxfId="33" priority="55" stopIfTrue="1" operator="greaterThan">
      <formula>10</formula>
    </cfRule>
    <cfRule type="cellIs" dxfId="32" priority="56" stopIfTrue="1" operator="greaterThan">
      <formula>10</formula>
    </cfRule>
    <cfRule type="cellIs" dxfId="31" priority="57" stopIfTrue="1" operator="greaterThan">
      <formula>10</formula>
    </cfRule>
    <cfRule type="cellIs" dxfId="30" priority="58" stopIfTrue="1" operator="greaterThan">
      <formula>10</formula>
    </cfRule>
  </conditionalFormatting>
  <conditionalFormatting sqref="C10:C38">
    <cfRule type="duplicateValues" dxfId="29" priority="59" stopIfTrue="1"/>
    <cfRule type="duplicateValues" dxfId="28" priority="60" stopIfTrue="1"/>
  </conditionalFormatting>
  <conditionalFormatting sqref="C61:C62">
    <cfRule type="duplicateValues" dxfId="27" priority="31" stopIfTrue="1"/>
    <cfRule type="duplicateValues" dxfId="26" priority="32" stopIfTrue="1"/>
  </conditionalFormatting>
  <conditionalFormatting sqref="C63:C64">
    <cfRule type="duplicateValues" dxfId="25" priority="25" stopIfTrue="1"/>
    <cfRule type="duplicateValues" dxfId="24" priority="26" stopIfTrue="1"/>
  </conditionalFormatting>
  <conditionalFormatting sqref="C39:C60 C65:C66">
    <cfRule type="duplicateValues" dxfId="23" priority="45" stopIfTrue="1"/>
    <cfRule type="duplicateValues" dxfId="22" priority="46" stopIfTrue="1"/>
  </conditionalFormatting>
  <conditionalFormatting sqref="C86:C88">
    <cfRule type="duplicateValues" dxfId="21" priority="5" stopIfTrue="1"/>
    <cfRule type="duplicateValues" dxfId="20" priority="6" stopIfTrue="1"/>
  </conditionalFormatting>
  <conditionalFormatting sqref="C67:C85 C89:C94">
    <cfRule type="duplicateValues" dxfId="19" priority="19" stopIfTrue="1"/>
    <cfRule type="duplicateValues" dxfId="18" priority="20" stopIfTrue="1"/>
  </conditionalFormatting>
  <dataValidations count="1">
    <dataValidation type="decimal" allowBlank="1" showInputMessage="1" showErrorMessage="1" error="Sai định dạng" sqref="J10:M94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B1:N106"/>
  <sheetViews>
    <sheetView topLeftCell="A82" workbookViewId="0">
      <selection activeCell="B11" sqref="B11:B93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2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BAS1224_14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33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813</v>
      </c>
      <c r="D10" s="9" t="s">
        <v>208</v>
      </c>
      <c r="E10" s="11" t="s">
        <v>26</v>
      </c>
      <c r="F10" s="19" t="s">
        <v>450</v>
      </c>
      <c r="G10" s="19" t="s">
        <v>397</v>
      </c>
      <c r="H10" s="19">
        <v>4</v>
      </c>
      <c r="I10" s="19" t="s">
        <v>814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815</v>
      </c>
      <c r="D11" s="10" t="s">
        <v>816</v>
      </c>
      <c r="E11" s="12" t="s">
        <v>27</v>
      </c>
      <c r="F11" s="20" t="s">
        <v>690</v>
      </c>
      <c r="G11" s="20" t="s">
        <v>397</v>
      </c>
      <c r="H11" s="20">
        <v>4</v>
      </c>
      <c r="I11" s="20" t="s">
        <v>814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817</v>
      </c>
      <c r="D12" s="10" t="s">
        <v>818</v>
      </c>
      <c r="E12" s="12" t="s">
        <v>31</v>
      </c>
      <c r="F12" s="20" t="s">
        <v>720</v>
      </c>
      <c r="G12" s="20" t="s">
        <v>397</v>
      </c>
      <c r="H12" s="20">
        <v>4</v>
      </c>
      <c r="I12" s="20" t="s">
        <v>814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7" si="0">+IF(OR($J12=0,$K12=0,$L12=0,$M12=0),"Không đủ ĐKDT","")</f>
        <v/>
      </c>
    </row>
    <row r="13" spans="2:14" ht="16.5" customHeight="1">
      <c r="B13" s="15">
        <v>4</v>
      </c>
      <c r="C13" s="22" t="s">
        <v>819</v>
      </c>
      <c r="D13" s="10" t="s">
        <v>820</v>
      </c>
      <c r="E13" s="12" t="s">
        <v>135</v>
      </c>
      <c r="F13" s="20" t="s">
        <v>687</v>
      </c>
      <c r="G13" s="20" t="s">
        <v>397</v>
      </c>
      <c r="H13" s="20">
        <v>4</v>
      </c>
      <c r="I13" s="20" t="s">
        <v>814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821</v>
      </c>
      <c r="D14" s="10" t="s">
        <v>175</v>
      </c>
      <c r="E14" s="12" t="s">
        <v>135</v>
      </c>
      <c r="F14" s="20" t="s">
        <v>450</v>
      </c>
      <c r="G14" s="20" t="s">
        <v>397</v>
      </c>
      <c r="H14" s="20">
        <v>4</v>
      </c>
      <c r="I14" s="20" t="s">
        <v>814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822</v>
      </c>
      <c r="D15" s="10" t="s">
        <v>823</v>
      </c>
      <c r="E15" s="12" t="s">
        <v>136</v>
      </c>
      <c r="F15" s="20" t="s">
        <v>675</v>
      </c>
      <c r="G15" s="20" t="s">
        <v>397</v>
      </c>
      <c r="H15" s="20">
        <v>4</v>
      </c>
      <c r="I15" s="20" t="s">
        <v>814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824</v>
      </c>
      <c r="D16" s="10" t="s">
        <v>825</v>
      </c>
      <c r="E16" s="12" t="s">
        <v>39</v>
      </c>
      <c r="F16" s="20" t="s">
        <v>410</v>
      </c>
      <c r="G16" s="20" t="s">
        <v>397</v>
      </c>
      <c r="H16" s="20">
        <v>4</v>
      </c>
      <c r="I16" s="20" t="s">
        <v>814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826</v>
      </c>
      <c r="D17" s="10" t="s">
        <v>827</v>
      </c>
      <c r="E17" s="12" t="s">
        <v>39</v>
      </c>
      <c r="F17" s="20" t="s">
        <v>683</v>
      </c>
      <c r="G17" s="20" t="s">
        <v>397</v>
      </c>
      <c r="H17" s="20">
        <v>4</v>
      </c>
      <c r="I17" s="20" t="s">
        <v>814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828</v>
      </c>
      <c r="D18" s="10" t="s">
        <v>37</v>
      </c>
      <c r="E18" s="12" t="s">
        <v>39</v>
      </c>
      <c r="F18" s="20" t="s">
        <v>692</v>
      </c>
      <c r="G18" s="20" t="s">
        <v>397</v>
      </c>
      <c r="H18" s="20">
        <v>4</v>
      </c>
      <c r="I18" s="20" t="s">
        <v>814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829</v>
      </c>
      <c r="D19" s="10" t="s">
        <v>61</v>
      </c>
      <c r="E19" s="12" t="s">
        <v>830</v>
      </c>
      <c r="F19" s="20" t="s">
        <v>694</v>
      </c>
      <c r="G19" s="20" t="s">
        <v>397</v>
      </c>
      <c r="H19" s="20">
        <v>4</v>
      </c>
      <c r="I19" s="20" t="s">
        <v>814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831</v>
      </c>
      <c r="D20" s="10" t="s">
        <v>832</v>
      </c>
      <c r="E20" s="12" t="s">
        <v>44</v>
      </c>
      <c r="F20" s="20" t="s">
        <v>690</v>
      </c>
      <c r="G20" s="20" t="s">
        <v>397</v>
      </c>
      <c r="H20" s="20">
        <v>4</v>
      </c>
      <c r="I20" s="20" t="s">
        <v>814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833</v>
      </c>
      <c r="D21" s="10" t="s">
        <v>834</v>
      </c>
      <c r="E21" s="12" t="s">
        <v>44</v>
      </c>
      <c r="F21" s="20" t="s">
        <v>396</v>
      </c>
      <c r="G21" s="20" t="s">
        <v>397</v>
      </c>
      <c r="H21" s="20">
        <v>4</v>
      </c>
      <c r="I21" s="20" t="s">
        <v>814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835</v>
      </c>
      <c r="D22" s="10" t="s">
        <v>169</v>
      </c>
      <c r="E22" s="12" t="s">
        <v>44</v>
      </c>
      <c r="F22" s="20" t="s">
        <v>414</v>
      </c>
      <c r="G22" s="20" t="s">
        <v>397</v>
      </c>
      <c r="H22" s="20">
        <v>4</v>
      </c>
      <c r="I22" s="20" t="s">
        <v>814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836</v>
      </c>
      <c r="D23" s="10" t="s">
        <v>837</v>
      </c>
      <c r="E23" s="12" t="s">
        <v>212</v>
      </c>
      <c r="F23" s="20" t="s">
        <v>414</v>
      </c>
      <c r="G23" s="20" t="s">
        <v>397</v>
      </c>
      <c r="H23" s="20">
        <v>4</v>
      </c>
      <c r="I23" s="20" t="s">
        <v>814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838</v>
      </c>
      <c r="D24" s="10" t="s">
        <v>832</v>
      </c>
      <c r="E24" s="12" t="s">
        <v>212</v>
      </c>
      <c r="F24" s="20" t="s">
        <v>690</v>
      </c>
      <c r="G24" s="20" t="s">
        <v>397</v>
      </c>
      <c r="H24" s="20">
        <v>4</v>
      </c>
      <c r="I24" s="20" t="s">
        <v>814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839</v>
      </c>
      <c r="D25" s="10" t="s">
        <v>57</v>
      </c>
      <c r="E25" s="12" t="s">
        <v>46</v>
      </c>
      <c r="F25" s="20" t="s">
        <v>412</v>
      </c>
      <c r="G25" s="20" t="s">
        <v>397</v>
      </c>
      <c r="H25" s="20">
        <v>4</v>
      </c>
      <c r="I25" s="20" t="s">
        <v>814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840</v>
      </c>
      <c r="D26" s="10" t="s">
        <v>339</v>
      </c>
      <c r="E26" s="12" t="s">
        <v>307</v>
      </c>
      <c r="F26" s="20" t="s">
        <v>696</v>
      </c>
      <c r="G26" s="20" t="s">
        <v>397</v>
      </c>
      <c r="H26" s="20">
        <v>4</v>
      </c>
      <c r="I26" s="20" t="s">
        <v>814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841</v>
      </c>
      <c r="D27" s="10" t="s">
        <v>37</v>
      </c>
      <c r="E27" s="12" t="s">
        <v>48</v>
      </c>
      <c r="F27" s="20" t="s">
        <v>696</v>
      </c>
      <c r="G27" s="20" t="s">
        <v>397</v>
      </c>
      <c r="H27" s="20">
        <v>4</v>
      </c>
      <c r="I27" s="20" t="s">
        <v>814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842</v>
      </c>
      <c r="D28" s="10" t="s">
        <v>593</v>
      </c>
      <c r="E28" s="12" t="s">
        <v>843</v>
      </c>
      <c r="F28" s="20" t="s">
        <v>420</v>
      </c>
      <c r="G28" s="20" t="s">
        <v>397</v>
      </c>
      <c r="H28" s="20">
        <v>4</v>
      </c>
      <c r="I28" s="20" t="s">
        <v>814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844</v>
      </c>
      <c r="D29" s="10" t="s">
        <v>760</v>
      </c>
      <c r="E29" s="12" t="s">
        <v>253</v>
      </c>
      <c r="F29" s="20" t="s">
        <v>701</v>
      </c>
      <c r="G29" s="20" t="s">
        <v>397</v>
      </c>
      <c r="H29" s="20">
        <v>4</v>
      </c>
      <c r="I29" s="20" t="s">
        <v>814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845</v>
      </c>
      <c r="D30" s="10" t="s">
        <v>846</v>
      </c>
      <c r="E30" s="12" t="s">
        <v>53</v>
      </c>
      <c r="F30" s="20" t="s">
        <v>444</v>
      </c>
      <c r="G30" s="20" t="s">
        <v>397</v>
      </c>
      <c r="H30" s="20">
        <v>4</v>
      </c>
      <c r="I30" s="20" t="s">
        <v>814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847</v>
      </c>
      <c r="D31" s="10" t="s">
        <v>573</v>
      </c>
      <c r="E31" s="12" t="s">
        <v>53</v>
      </c>
      <c r="F31" s="20" t="s">
        <v>701</v>
      </c>
      <c r="G31" s="20" t="s">
        <v>397</v>
      </c>
      <c r="H31" s="20">
        <v>4</v>
      </c>
      <c r="I31" s="20" t="s">
        <v>814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848</v>
      </c>
      <c r="D32" s="10" t="s">
        <v>318</v>
      </c>
      <c r="E32" s="12" t="s">
        <v>53</v>
      </c>
      <c r="F32" s="20" t="s">
        <v>692</v>
      </c>
      <c r="G32" s="20" t="s">
        <v>397</v>
      </c>
      <c r="H32" s="20">
        <v>4</v>
      </c>
      <c r="I32" s="20" t="s">
        <v>814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849</v>
      </c>
      <c r="D33" s="10" t="s">
        <v>237</v>
      </c>
      <c r="E33" s="12" t="s">
        <v>53</v>
      </c>
      <c r="F33" s="20" t="s">
        <v>450</v>
      </c>
      <c r="G33" s="20" t="s">
        <v>397</v>
      </c>
      <c r="H33" s="20">
        <v>4</v>
      </c>
      <c r="I33" s="20" t="s">
        <v>814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850</v>
      </c>
      <c r="D34" s="10" t="s">
        <v>851</v>
      </c>
      <c r="E34" s="12" t="s">
        <v>53</v>
      </c>
      <c r="F34" s="20" t="s">
        <v>694</v>
      </c>
      <c r="G34" s="20" t="s">
        <v>397</v>
      </c>
      <c r="H34" s="20">
        <v>4</v>
      </c>
      <c r="I34" s="20" t="s">
        <v>814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852</v>
      </c>
      <c r="D35" s="10" t="s">
        <v>157</v>
      </c>
      <c r="E35" s="12" t="s">
        <v>53</v>
      </c>
      <c r="F35" s="20" t="s">
        <v>675</v>
      </c>
      <c r="G35" s="20" t="s">
        <v>397</v>
      </c>
      <c r="H35" s="20">
        <v>4</v>
      </c>
      <c r="I35" s="20" t="s">
        <v>814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853</v>
      </c>
      <c r="D36" s="10" t="s">
        <v>94</v>
      </c>
      <c r="E36" s="12" t="s">
        <v>56</v>
      </c>
      <c r="F36" s="20" t="s">
        <v>694</v>
      </c>
      <c r="G36" s="20" t="s">
        <v>397</v>
      </c>
      <c r="H36" s="20">
        <v>4</v>
      </c>
      <c r="I36" s="20" t="s">
        <v>814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854</v>
      </c>
      <c r="D37" s="10" t="s">
        <v>66</v>
      </c>
      <c r="E37" s="12" t="s">
        <v>58</v>
      </c>
      <c r="F37" s="20" t="s">
        <v>694</v>
      </c>
      <c r="G37" s="20" t="s">
        <v>397</v>
      </c>
      <c r="H37" s="20">
        <v>4</v>
      </c>
      <c r="I37" s="20" t="s">
        <v>814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1" t="s">
        <v>855</v>
      </c>
      <c r="D38" s="9" t="s">
        <v>41</v>
      </c>
      <c r="E38" s="11" t="s">
        <v>58</v>
      </c>
      <c r="F38" s="19" t="s">
        <v>692</v>
      </c>
      <c r="G38" s="19" t="s">
        <v>397</v>
      </c>
      <c r="H38" s="19">
        <v>4</v>
      </c>
      <c r="I38" s="19" t="s">
        <v>814</v>
      </c>
      <c r="J38" s="17" t="s">
        <v>13</v>
      </c>
      <c r="K38" s="17" t="s">
        <v>13</v>
      </c>
      <c r="L38" s="17" t="s">
        <v>13</v>
      </c>
      <c r="M38" s="17" t="s">
        <v>13</v>
      </c>
      <c r="N38" s="14" t="str">
        <f>+IF(OR($J38=0,$K38=0,$L38=0,$M38=0),"Không đủ ĐKDT","")</f>
        <v/>
      </c>
    </row>
    <row r="39" spans="2:14" ht="16.5" customHeight="1">
      <c r="B39" s="15">
        <v>30</v>
      </c>
      <c r="C39" s="22" t="s">
        <v>856</v>
      </c>
      <c r="D39" s="10" t="s">
        <v>857</v>
      </c>
      <c r="E39" s="12" t="s">
        <v>389</v>
      </c>
      <c r="F39" s="20" t="s">
        <v>692</v>
      </c>
      <c r="G39" s="20" t="s">
        <v>397</v>
      </c>
      <c r="H39" s="20">
        <v>4</v>
      </c>
      <c r="I39" s="20" t="s">
        <v>814</v>
      </c>
      <c r="J39" s="18" t="s">
        <v>13</v>
      </c>
      <c r="K39" s="18" t="s">
        <v>13</v>
      </c>
      <c r="L39" s="18" t="s">
        <v>13</v>
      </c>
      <c r="M39" s="18" t="s">
        <v>13</v>
      </c>
      <c r="N39" s="16" t="str">
        <f>+IF(OR($J39=0,$K39=0,$L39=0,$M39=0),"Không đủ ĐKDT","")</f>
        <v/>
      </c>
    </row>
    <row r="40" spans="2:14" ht="16.5" customHeight="1">
      <c r="B40" s="15">
        <v>31</v>
      </c>
      <c r="C40" s="22" t="s">
        <v>858</v>
      </c>
      <c r="D40" s="10" t="s">
        <v>859</v>
      </c>
      <c r="E40" s="12" t="s">
        <v>62</v>
      </c>
      <c r="F40" s="20" t="s">
        <v>444</v>
      </c>
      <c r="G40" s="20" t="s">
        <v>397</v>
      </c>
      <c r="H40" s="20">
        <v>4</v>
      </c>
      <c r="I40" s="20" t="s">
        <v>814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 t="shared" ref="N40:N65" si="1">+IF(OR($J40=0,$K40=0,$L40=0,$M40=0),"Không đủ ĐKDT","")</f>
        <v/>
      </c>
    </row>
    <row r="41" spans="2:14" ht="16.5" customHeight="1">
      <c r="B41" s="15">
        <v>32</v>
      </c>
      <c r="C41" s="22" t="s">
        <v>860</v>
      </c>
      <c r="D41" s="10" t="s">
        <v>861</v>
      </c>
      <c r="E41" s="12" t="s">
        <v>62</v>
      </c>
      <c r="F41" s="20" t="s">
        <v>450</v>
      </c>
      <c r="G41" s="20" t="s">
        <v>397</v>
      </c>
      <c r="H41" s="20">
        <v>4</v>
      </c>
      <c r="I41" s="20" t="s">
        <v>814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si="1"/>
        <v/>
      </c>
    </row>
    <row r="42" spans="2:14" ht="16.5" customHeight="1">
      <c r="B42" s="15">
        <v>33</v>
      </c>
      <c r="C42" s="22" t="s">
        <v>862</v>
      </c>
      <c r="D42" s="10" t="s">
        <v>863</v>
      </c>
      <c r="E42" s="12" t="s">
        <v>62</v>
      </c>
      <c r="F42" s="20" t="s">
        <v>756</v>
      </c>
      <c r="G42" s="20" t="s">
        <v>397</v>
      </c>
      <c r="H42" s="20">
        <v>4</v>
      </c>
      <c r="I42" s="20" t="s">
        <v>814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864</v>
      </c>
      <c r="D43" s="10" t="s">
        <v>266</v>
      </c>
      <c r="E43" s="12" t="s">
        <v>142</v>
      </c>
      <c r="F43" s="20" t="s">
        <v>687</v>
      </c>
      <c r="G43" s="20" t="s">
        <v>397</v>
      </c>
      <c r="H43" s="20">
        <v>4</v>
      </c>
      <c r="I43" s="20" t="s">
        <v>814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865</v>
      </c>
      <c r="D44" s="10" t="s">
        <v>866</v>
      </c>
      <c r="E44" s="12" t="s">
        <v>142</v>
      </c>
      <c r="F44" s="20" t="s">
        <v>468</v>
      </c>
      <c r="G44" s="20" t="s">
        <v>397</v>
      </c>
      <c r="H44" s="20">
        <v>4</v>
      </c>
      <c r="I44" s="20" t="s">
        <v>814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867</v>
      </c>
      <c r="D45" s="10" t="s">
        <v>76</v>
      </c>
      <c r="E45" s="12" t="s">
        <v>142</v>
      </c>
      <c r="F45" s="20" t="s">
        <v>450</v>
      </c>
      <c r="G45" s="20" t="s">
        <v>397</v>
      </c>
      <c r="H45" s="20">
        <v>4</v>
      </c>
      <c r="I45" s="20" t="s">
        <v>814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868</v>
      </c>
      <c r="D46" s="10" t="s">
        <v>869</v>
      </c>
      <c r="E46" s="12" t="s">
        <v>143</v>
      </c>
      <c r="F46" s="20" t="s">
        <v>683</v>
      </c>
      <c r="G46" s="20" t="s">
        <v>397</v>
      </c>
      <c r="H46" s="20">
        <v>4</v>
      </c>
      <c r="I46" s="20" t="s">
        <v>814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870</v>
      </c>
      <c r="D47" s="10" t="s">
        <v>871</v>
      </c>
      <c r="E47" s="12" t="s">
        <v>72</v>
      </c>
      <c r="F47" s="20" t="s">
        <v>872</v>
      </c>
      <c r="G47" s="20" t="s">
        <v>397</v>
      </c>
      <c r="H47" s="20">
        <v>4</v>
      </c>
      <c r="I47" s="20" t="s">
        <v>814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873</v>
      </c>
      <c r="D48" s="10" t="s">
        <v>874</v>
      </c>
      <c r="E48" s="12" t="s">
        <v>72</v>
      </c>
      <c r="F48" s="20" t="s">
        <v>52</v>
      </c>
      <c r="G48" s="20" t="s">
        <v>397</v>
      </c>
      <c r="H48" s="20">
        <v>4</v>
      </c>
      <c r="I48" s="20" t="s">
        <v>814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875</v>
      </c>
      <c r="D49" s="10" t="s">
        <v>876</v>
      </c>
      <c r="E49" s="12" t="s">
        <v>72</v>
      </c>
      <c r="F49" s="20" t="s">
        <v>683</v>
      </c>
      <c r="G49" s="20" t="s">
        <v>397</v>
      </c>
      <c r="H49" s="20">
        <v>4</v>
      </c>
      <c r="I49" s="20" t="s">
        <v>814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877</v>
      </c>
      <c r="D50" s="10" t="s">
        <v>878</v>
      </c>
      <c r="E50" s="12" t="s">
        <v>190</v>
      </c>
      <c r="F50" s="20" t="s">
        <v>701</v>
      </c>
      <c r="G50" s="20" t="s">
        <v>397</v>
      </c>
      <c r="H50" s="20">
        <v>4</v>
      </c>
      <c r="I50" s="20" t="s">
        <v>814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879</v>
      </c>
      <c r="D51" s="10" t="s">
        <v>271</v>
      </c>
      <c r="E51" s="12" t="s">
        <v>880</v>
      </c>
      <c r="F51" s="20" t="s">
        <v>117</v>
      </c>
      <c r="G51" s="20" t="s">
        <v>397</v>
      </c>
      <c r="H51" s="20">
        <v>4</v>
      </c>
      <c r="I51" s="20" t="s">
        <v>814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881</v>
      </c>
      <c r="D52" s="10" t="s">
        <v>57</v>
      </c>
      <c r="E52" s="12" t="s">
        <v>73</v>
      </c>
      <c r="F52" s="20" t="s">
        <v>432</v>
      </c>
      <c r="G52" s="20" t="s">
        <v>397</v>
      </c>
      <c r="H52" s="20">
        <v>4</v>
      </c>
      <c r="I52" s="20" t="s">
        <v>814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882</v>
      </c>
      <c r="D53" s="10" t="s">
        <v>883</v>
      </c>
      <c r="E53" s="12" t="s">
        <v>73</v>
      </c>
      <c r="F53" s="20" t="s">
        <v>414</v>
      </c>
      <c r="G53" s="20" t="s">
        <v>397</v>
      </c>
      <c r="H53" s="20">
        <v>4</v>
      </c>
      <c r="I53" s="20" t="s">
        <v>814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884</v>
      </c>
      <c r="D54" s="10" t="s">
        <v>885</v>
      </c>
      <c r="E54" s="12" t="s">
        <v>75</v>
      </c>
      <c r="F54" s="20" t="s">
        <v>450</v>
      </c>
      <c r="G54" s="20" t="s">
        <v>397</v>
      </c>
      <c r="H54" s="20">
        <v>4</v>
      </c>
      <c r="I54" s="20" t="s">
        <v>814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886</v>
      </c>
      <c r="D55" s="10" t="s">
        <v>145</v>
      </c>
      <c r="E55" s="12" t="s">
        <v>77</v>
      </c>
      <c r="F55" s="20" t="s">
        <v>450</v>
      </c>
      <c r="G55" s="20" t="s">
        <v>397</v>
      </c>
      <c r="H55" s="20">
        <v>4</v>
      </c>
      <c r="I55" s="20" t="s">
        <v>814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887</v>
      </c>
      <c r="D56" s="10" t="s">
        <v>888</v>
      </c>
      <c r="E56" s="12" t="s">
        <v>889</v>
      </c>
      <c r="F56" s="20" t="s">
        <v>675</v>
      </c>
      <c r="G56" s="20" t="s">
        <v>397</v>
      </c>
      <c r="H56" s="20">
        <v>4</v>
      </c>
      <c r="I56" s="20" t="s">
        <v>814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890</v>
      </c>
      <c r="D57" s="10" t="s">
        <v>891</v>
      </c>
      <c r="E57" s="12" t="s">
        <v>87</v>
      </c>
      <c r="F57" s="20" t="s">
        <v>687</v>
      </c>
      <c r="G57" s="20" t="s">
        <v>397</v>
      </c>
      <c r="H57" s="20">
        <v>4</v>
      </c>
      <c r="I57" s="20" t="s">
        <v>814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892</v>
      </c>
      <c r="D58" s="10" t="s">
        <v>893</v>
      </c>
      <c r="E58" s="12" t="s">
        <v>87</v>
      </c>
      <c r="F58" s="20" t="s">
        <v>701</v>
      </c>
      <c r="G58" s="20" t="s">
        <v>397</v>
      </c>
      <c r="H58" s="20">
        <v>4</v>
      </c>
      <c r="I58" s="20" t="s">
        <v>814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894</v>
      </c>
      <c r="D59" s="10" t="s">
        <v>32</v>
      </c>
      <c r="E59" s="12" t="s">
        <v>87</v>
      </c>
      <c r="F59" s="20" t="s">
        <v>720</v>
      </c>
      <c r="G59" s="20" t="s">
        <v>397</v>
      </c>
      <c r="H59" s="20">
        <v>4</v>
      </c>
      <c r="I59" s="20" t="s">
        <v>814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895</v>
      </c>
      <c r="D60" s="10" t="s">
        <v>896</v>
      </c>
      <c r="E60" s="12" t="s">
        <v>91</v>
      </c>
      <c r="F60" s="20" t="s">
        <v>450</v>
      </c>
      <c r="G60" s="20" t="s">
        <v>397</v>
      </c>
      <c r="H60" s="20">
        <v>4</v>
      </c>
      <c r="I60" s="20" t="s">
        <v>814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897</v>
      </c>
      <c r="D61" s="10" t="s">
        <v>154</v>
      </c>
      <c r="E61" s="12" t="s">
        <v>91</v>
      </c>
      <c r="F61" s="20" t="s">
        <v>414</v>
      </c>
      <c r="G61" s="20" t="s">
        <v>397</v>
      </c>
      <c r="H61" s="20">
        <v>4</v>
      </c>
      <c r="I61" s="20" t="s">
        <v>814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898</v>
      </c>
      <c r="D62" s="10" t="s">
        <v>157</v>
      </c>
      <c r="E62" s="12" t="s">
        <v>93</v>
      </c>
      <c r="F62" s="20" t="s">
        <v>756</v>
      </c>
      <c r="G62" s="20" t="s">
        <v>397</v>
      </c>
      <c r="H62" s="20">
        <v>4</v>
      </c>
      <c r="I62" s="20" t="s">
        <v>814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899</v>
      </c>
      <c r="D63" s="10" t="s">
        <v>900</v>
      </c>
      <c r="E63" s="12" t="s">
        <v>333</v>
      </c>
      <c r="F63" s="20" t="s">
        <v>901</v>
      </c>
      <c r="G63" s="20" t="s">
        <v>397</v>
      </c>
      <c r="H63" s="20">
        <v>4</v>
      </c>
      <c r="I63" s="20" t="s">
        <v>814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902</v>
      </c>
      <c r="D64" s="10" t="s">
        <v>391</v>
      </c>
      <c r="E64" s="12" t="s">
        <v>101</v>
      </c>
      <c r="F64" s="20" t="s">
        <v>701</v>
      </c>
      <c r="G64" s="20" t="s">
        <v>397</v>
      </c>
      <c r="H64" s="20">
        <v>4</v>
      </c>
      <c r="I64" s="20" t="s">
        <v>814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903</v>
      </c>
      <c r="D65" s="10" t="s">
        <v>904</v>
      </c>
      <c r="E65" s="12" t="s">
        <v>225</v>
      </c>
      <c r="F65" s="20" t="s">
        <v>687</v>
      </c>
      <c r="G65" s="20" t="s">
        <v>397</v>
      </c>
      <c r="H65" s="20">
        <v>4</v>
      </c>
      <c r="I65" s="20" t="s">
        <v>814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1" t="s">
        <v>905</v>
      </c>
      <c r="D66" s="9" t="s">
        <v>281</v>
      </c>
      <c r="E66" s="11" t="s">
        <v>156</v>
      </c>
      <c r="F66" s="19" t="s">
        <v>456</v>
      </c>
      <c r="G66" s="19" t="s">
        <v>397</v>
      </c>
      <c r="H66" s="19">
        <v>4</v>
      </c>
      <c r="I66" s="19" t="s">
        <v>814</v>
      </c>
      <c r="J66" s="17" t="s">
        <v>13</v>
      </c>
      <c r="K66" s="17" t="s">
        <v>13</v>
      </c>
      <c r="L66" s="17" t="s">
        <v>13</v>
      </c>
      <c r="M66" s="17" t="s">
        <v>13</v>
      </c>
      <c r="N66" s="14" t="str">
        <f>+IF(OR($J66=0,$K66=0,$L66=0,$M66=0),"Không đủ ĐKDT","")</f>
        <v/>
      </c>
    </row>
    <row r="67" spans="2:14" ht="16.5" customHeight="1">
      <c r="B67" s="15">
        <v>58</v>
      </c>
      <c r="C67" s="22" t="s">
        <v>906</v>
      </c>
      <c r="D67" s="10" t="s">
        <v>78</v>
      </c>
      <c r="E67" s="12" t="s">
        <v>156</v>
      </c>
      <c r="F67" s="20" t="s">
        <v>692</v>
      </c>
      <c r="G67" s="20" t="s">
        <v>397</v>
      </c>
      <c r="H67" s="20">
        <v>4</v>
      </c>
      <c r="I67" s="20" t="s">
        <v>814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>+IF(OR($J67=0,$K67=0,$L67=0,$M67=0),"Không đủ ĐKDT","")</f>
        <v/>
      </c>
    </row>
    <row r="68" spans="2:14" ht="16.5" customHeight="1">
      <c r="B68" s="15">
        <v>59</v>
      </c>
      <c r="C68" s="22" t="s">
        <v>907</v>
      </c>
      <c r="D68" s="10" t="s">
        <v>119</v>
      </c>
      <c r="E68" s="12" t="s">
        <v>158</v>
      </c>
      <c r="F68" s="20" t="s">
        <v>82</v>
      </c>
      <c r="G68" s="20" t="s">
        <v>397</v>
      </c>
      <c r="H68" s="20">
        <v>4</v>
      </c>
      <c r="I68" s="20" t="s">
        <v>814</v>
      </c>
      <c r="J68" s="18" t="s">
        <v>13</v>
      </c>
      <c r="K68" s="18" t="s">
        <v>13</v>
      </c>
      <c r="L68" s="18" t="s">
        <v>13</v>
      </c>
      <c r="M68" s="18" t="s">
        <v>13</v>
      </c>
      <c r="N68" s="16" t="str">
        <f t="shared" ref="N68:N93" si="2">+IF(OR($J68=0,$K68=0,$L68=0,$M68=0),"Không đủ ĐKDT","")</f>
        <v/>
      </c>
    </row>
    <row r="69" spans="2:14" ht="16.5" customHeight="1">
      <c r="B69" s="15">
        <v>60</v>
      </c>
      <c r="C69" s="22" t="s">
        <v>908</v>
      </c>
      <c r="D69" s="10" t="s">
        <v>240</v>
      </c>
      <c r="E69" s="12" t="s">
        <v>158</v>
      </c>
      <c r="F69" s="20" t="s">
        <v>690</v>
      </c>
      <c r="G69" s="20" t="s">
        <v>397</v>
      </c>
      <c r="H69" s="20">
        <v>4</v>
      </c>
      <c r="I69" s="20" t="s">
        <v>814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 t="shared" si="2"/>
        <v/>
      </c>
    </row>
    <row r="70" spans="2:14" ht="16.5" customHeight="1">
      <c r="B70" s="15">
        <v>61</v>
      </c>
      <c r="C70" s="22" t="s">
        <v>909</v>
      </c>
      <c r="D70" s="10" t="s">
        <v>910</v>
      </c>
      <c r="E70" s="12" t="s">
        <v>158</v>
      </c>
      <c r="F70" s="20" t="s">
        <v>450</v>
      </c>
      <c r="G70" s="20" t="s">
        <v>397</v>
      </c>
      <c r="H70" s="20">
        <v>4</v>
      </c>
      <c r="I70" s="20" t="s">
        <v>814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si="2"/>
        <v/>
      </c>
    </row>
    <row r="71" spans="2:14" ht="16.5" customHeight="1">
      <c r="B71" s="15">
        <v>62</v>
      </c>
      <c r="C71" s="22" t="s">
        <v>911</v>
      </c>
      <c r="D71" s="10" t="s">
        <v>912</v>
      </c>
      <c r="E71" s="12" t="s">
        <v>113</v>
      </c>
      <c r="F71" s="20" t="s">
        <v>414</v>
      </c>
      <c r="G71" s="20" t="s">
        <v>397</v>
      </c>
      <c r="H71" s="20">
        <v>4</v>
      </c>
      <c r="I71" s="20" t="s">
        <v>814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913</v>
      </c>
      <c r="D72" s="10" t="s">
        <v>914</v>
      </c>
      <c r="E72" s="12" t="s">
        <v>915</v>
      </c>
      <c r="F72" s="20" t="s">
        <v>701</v>
      </c>
      <c r="G72" s="20" t="s">
        <v>397</v>
      </c>
      <c r="H72" s="20">
        <v>4</v>
      </c>
      <c r="I72" s="20" t="s">
        <v>814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916</v>
      </c>
      <c r="D73" s="10" t="s">
        <v>917</v>
      </c>
      <c r="E73" s="12" t="s">
        <v>284</v>
      </c>
      <c r="F73" s="20" t="s">
        <v>696</v>
      </c>
      <c r="G73" s="20" t="s">
        <v>397</v>
      </c>
      <c r="H73" s="20">
        <v>4</v>
      </c>
      <c r="I73" s="20" t="s">
        <v>814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918</v>
      </c>
      <c r="D74" s="10" t="s">
        <v>247</v>
      </c>
      <c r="E74" s="12" t="s">
        <v>521</v>
      </c>
      <c r="F74" s="20" t="s">
        <v>690</v>
      </c>
      <c r="G74" s="20" t="s">
        <v>397</v>
      </c>
      <c r="H74" s="20">
        <v>4</v>
      </c>
      <c r="I74" s="20" t="s">
        <v>814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919</v>
      </c>
      <c r="D75" s="10" t="s">
        <v>187</v>
      </c>
      <c r="E75" s="12" t="s">
        <v>161</v>
      </c>
      <c r="F75" s="20" t="s">
        <v>414</v>
      </c>
      <c r="G75" s="20" t="s">
        <v>397</v>
      </c>
      <c r="H75" s="20">
        <v>4</v>
      </c>
      <c r="I75" s="20" t="s">
        <v>814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920</v>
      </c>
      <c r="D76" s="10" t="s">
        <v>256</v>
      </c>
      <c r="E76" s="12" t="s">
        <v>161</v>
      </c>
      <c r="F76" s="20" t="s">
        <v>720</v>
      </c>
      <c r="G76" s="20" t="s">
        <v>397</v>
      </c>
      <c r="H76" s="20">
        <v>4</v>
      </c>
      <c r="I76" s="20" t="s">
        <v>814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921</v>
      </c>
      <c r="D77" s="10" t="s">
        <v>248</v>
      </c>
      <c r="E77" s="12" t="s">
        <v>162</v>
      </c>
      <c r="F77" s="20" t="s">
        <v>687</v>
      </c>
      <c r="G77" s="20" t="s">
        <v>397</v>
      </c>
      <c r="H77" s="20">
        <v>4</v>
      </c>
      <c r="I77" s="20" t="s">
        <v>814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922</v>
      </c>
      <c r="D78" s="10" t="s">
        <v>715</v>
      </c>
      <c r="E78" s="12" t="s">
        <v>387</v>
      </c>
      <c r="F78" s="20" t="s">
        <v>701</v>
      </c>
      <c r="G78" s="20" t="s">
        <v>397</v>
      </c>
      <c r="H78" s="20">
        <v>4</v>
      </c>
      <c r="I78" s="20" t="s">
        <v>814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923</v>
      </c>
      <c r="D79" s="10" t="s">
        <v>322</v>
      </c>
      <c r="E79" s="12" t="s">
        <v>165</v>
      </c>
      <c r="F79" s="20" t="s">
        <v>38</v>
      </c>
      <c r="G79" s="20" t="s">
        <v>397</v>
      </c>
      <c r="H79" s="20">
        <v>4</v>
      </c>
      <c r="I79" s="20" t="s">
        <v>814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924</v>
      </c>
      <c r="D80" s="10" t="s">
        <v>914</v>
      </c>
      <c r="E80" s="12" t="s">
        <v>925</v>
      </c>
      <c r="F80" s="20" t="s">
        <v>432</v>
      </c>
      <c r="G80" s="20" t="s">
        <v>397</v>
      </c>
      <c r="H80" s="20">
        <v>4</v>
      </c>
      <c r="I80" s="20" t="s">
        <v>814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926</v>
      </c>
      <c r="D81" s="10" t="s">
        <v>927</v>
      </c>
      <c r="E81" s="12" t="s">
        <v>120</v>
      </c>
      <c r="F81" s="20" t="s">
        <v>683</v>
      </c>
      <c r="G81" s="20" t="s">
        <v>397</v>
      </c>
      <c r="H81" s="20">
        <v>4</v>
      </c>
      <c r="I81" s="20" t="s">
        <v>814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928</v>
      </c>
      <c r="D82" s="10" t="s">
        <v>283</v>
      </c>
      <c r="E82" s="12" t="s">
        <v>120</v>
      </c>
      <c r="F82" s="20" t="s">
        <v>687</v>
      </c>
      <c r="G82" s="20" t="s">
        <v>397</v>
      </c>
      <c r="H82" s="20">
        <v>4</v>
      </c>
      <c r="I82" s="20" t="s">
        <v>814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929</v>
      </c>
      <c r="D83" s="10" t="s">
        <v>930</v>
      </c>
      <c r="E83" s="12" t="s">
        <v>120</v>
      </c>
      <c r="F83" s="20" t="s">
        <v>694</v>
      </c>
      <c r="G83" s="20" t="s">
        <v>397</v>
      </c>
      <c r="H83" s="20">
        <v>4</v>
      </c>
      <c r="I83" s="20" t="s">
        <v>814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931</v>
      </c>
      <c r="D84" s="10" t="s">
        <v>705</v>
      </c>
      <c r="E84" s="12" t="s">
        <v>125</v>
      </c>
      <c r="F84" s="20" t="s">
        <v>692</v>
      </c>
      <c r="G84" s="20" t="s">
        <v>397</v>
      </c>
      <c r="H84" s="20">
        <v>4</v>
      </c>
      <c r="I84" s="20" t="s">
        <v>814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932</v>
      </c>
      <c r="D85" s="10" t="s">
        <v>76</v>
      </c>
      <c r="E85" s="12" t="s">
        <v>128</v>
      </c>
      <c r="F85" s="20" t="s">
        <v>696</v>
      </c>
      <c r="G85" s="20" t="s">
        <v>397</v>
      </c>
      <c r="H85" s="20">
        <v>4</v>
      </c>
      <c r="I85" s="20" t="s">
        <v>814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933</v>
      </c>
      <c r="D86" s="10" t="s">
        <v>182</v>
      </c>
      <c r="E86" s="12" t="s">
        <v>203</v>
      </c>
      <c r="F86" s="20" t="s">
        <v>414</v>
      </c>
      <c r="G86" s="20" t="s">
        <v>397</v>
      </c>
      <c r="H86" s="20">
        <v>4</v>
      </c>
      <c r="I86" s="20" t="s">
        <v>814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934</v>
      </c>
      <c r="D87" s="10" t="s">
        <v>935</v>
      </c>
      <c r="E87" s="12" t="s">
        <v>171</v>
      </c>
      <c r="F87" s="20" t="s">
        <v>683</v>
      </c>
      <c r="G87" s="20" t="s">
        <v>397</v>
      </c>
      <c r="H87" s="20">
        <v>4</v>
      </c>
      <c r="I87" s="20" t="s">
        <v>814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936</v>
      </c>
      <c r="D88" s="10" t="s">
        <v>139</v>
      </c>
      <c r="E88" s="12" t="s">
        <v>171</v>
      </c>
      <c r="F88" s="20" t="s">
        <v>692</v>
      </c>
      <c r="G88" s="20" t="s">
        <v>397</v>
      </c>
      <c r="H88" s="20">
        <v>4</v>
      </c>
      <c r="I88" s="20" t="s">
        <v>814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937</v>
      </c>
      <c r="D89" s="10" t="s">
        <v>938</v>
      </c>
      <c r="E89" s="12" t="s">
        <v>171</v>
      </c>
      <c r="F89" s="20" t="s">
        <v>405</v>
      </c>
      <c r="G89" s="20" t="s">
        <v>397</v>
      </c>
      <c r="H89" s="20">
        <v>4</v>
      </c>
      <c r="I89" s="20" t="s">
        <v>814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939</v>
      </c>
      <c r="D90" s="10" t="s">
        <v>63</v>
      </c>
      <c r="E90" s="12" t="s">
        <v>171</v>
      </c>
      <c r="F90" s="20" t="s">
        <v>683</v>
      </c>
      <c r="G90" s="20" t="s">
        <v>397</v>
      </c>
      <c r="H90" s="20">
        <v>4</v>
      </c>
      <c r="I90" s="20" t="s">
        <v>814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940</v>
      </c>
      <c r="D91" s="10" t="s">
        <v>76</v>
      </c>
      <c r="E91" s="12" t="s">
        <v>941</v>
      </c>
      <c r="F91" s="20" t="s">
        <v>117</v>
      </c>
      <c r="G91" s="20" t="s">
        <v>397</v>
      </c>
      <c r="H91" s="20">
        <v>4</v>
      </c>
      <c r="I91" s="20" t="s">
        <v>814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942</v>
      </c>
      <c r="D92" s="10" t="s">
        <v>943</v>
      </c>
      <c r="E92" s="12" t="s">
        <v>278</v>
      </c>
      <c r="F92" s="20" t="s">
        <v>701</v>
      </c>
      <c r="G92" s="20" t="s">
        <v>397</v>
      </c>
      <c r="H92" s="20">
        <v>4</v>
      </c>
      <c r="I92" s="20" t="s">
        <v>814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944</v>
      </c>
      <c r="D93" s="10" t="s">
        <v>94</v>
      </c>
      <c r="E93" s="12" t="s">
        <v>945</v>
      </c>
      <c r="F93" s="20" t="s">
        <v>683</v>
      </c>
      <c r="G93" s="20" t="s">
        <v>397</v>
      </c>
      <c r="H93" s="20">
        <v>4</v>
      </c>
      <c r="I93" s="20" t="s">
        <v>814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9.5" customHeight="1">
      <c r="B94" s="64" t="s">
        <v>20</v>
      </c>
      <c r="C94" s="64"/>
      <c r="D94" s="64"/>
      <c r="E94" s="64"/>
    </row>
    <row r="95" spans="2:14" ht="19.5" customHeight="1">
      <c r="B95" s="55" t="str">
        <f>"Điểm chuyên cần: " &amp; $J$9 &amp; "% "</f>
        <v xml:space="preserve">Điểm chuyên cần: % </v>
      </c>
      <c r="C95" s="55"/>
      <c r="D95" s="55"/>
      <c r="E95" s="55"/>
    </row>
    <row r="96" spans="2:14" ht="19.5" customHeight="1">
      <c r="B96" s="55" t="str">
        <f>"Điểm trung bình kiểm tra: "&amp;$K$9&amp;"%"</f>
        <v>Điểm trung bình kiểm tra: %</v>
      </c>
      <c r="C96" s="55"/>
      <c r="D96" s="55"/>
      <c r="E96" s="55"/>
    </row>
    <row r="97" spans="2:14" ht="19.5" customHeight="1">
      <c r="B97" s="55" t="str">
        <f>"Điểm thí nghiệm, thực hành: "&amp;$L$9&amp;"%"</f>
        <v>Điểm thí nghiệm, thực hành: %</v>
      </c>
      <c r="C97" s="55"/>
      <c r="D97" s="55"/>
      <c r="E97" s="55"/>
    </row>
    <row r="98" spans="2:14" ht="19.5" customHeight="1">
      <c r="B98" s="55" t="str">
        <f>"Điểm bài tập tiểu luận, seminar: "&amp;$M$9&amp;"%"</f>
        <v>Điểm bài tập tiểu luận, seminar: %</v>
      </c>
      <c r="C98" s="55"/>
      <c r="D98" s="55"/>
      <c r="E98" s="55"/>
    </row>
    <row r="99" spans="2:14">
      <c r="J99" s="56" t="s">
        <v>21</v>
      </c>
      <c r="K99" s="56"/>
      <c r="L99" s="56"/>
      <c r="M99" s="56"/>
      <c r="N99" s="56"/>
    </row>
    <row r="100" spans="2:14" ht="32.25" customHeight="1">
      <c r="B100" s="57" t="s">
        <v>17</v>
      </c>
      <c r="C100" s="57"/>
      <c r="D100" s="57"/>
      <c r="E100" s="57"/>
      <c r="F100" s="32"/>
      <c r="G100" s="32"/>
      <c r="H100" s="32"/>
      <c r="I100" s="32"/>
      <c r="J100" s="57" t="s">
        <v>18</v>
      </c>
      <c r="K100" s="57"/>
      <c r="L100" s="57"/>
      <c r="M100" s="57"/>
      <c r="N100" s="57"/>
    </row>
    <row r="106" spans="2:14">
      <c r="J106" s="58"/>
      <c r="K106" s="58"/>
      <c r="L106" s="58"/>
      <c r="M106" s="58"/>
      <c r="N106" s="58"/>
    </row>
  </sheetData>
  <sheetProtection formatCells="0" formatColumns="0" formatRows="0" insertColumns="0" insertRows="0" insertHyperlinks="0" deleteColumns="0" deleteRows="0" sort="0" autoFilter="0" pivotTables="0"/>
  <autoFilter ref="A8:N37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7:E97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4:E94"/>
    <mergeCell ref="B95:E95"/>
    <mergeCell ref="B96:E96"/>
    <mergeCell ref="L7:L8"/>
    <mergeCell ref="M7:M8"/>
    <mergeCell ref="B98:E98"/>
    <mergeCell ref="J99:N99"/>
    <mergeCell ref="B100:E100"/>
    <mergeCell ref="J100:N100"/>
    <mergeCell ref="J106:N106"/>
  </mergeCells>
  <conditionalFormatting sqref="J10:M10">
    <cfRule type="cellIs" dxfId="777" priority="55" stopIfTrue="1" operator="greaterThan">
      <formula>10</formula>
    </cfRule>
    <cfRule type="cellIs" dxfId="776" priority="56" stopIfTrue="1" operator="greaterThan">
      <formula>10</formula>
    </cfRule>
    <cfRule type="cellIs" dxfId="775" priority="57" stopIfTrue="1" operator="greaterThan">
      <formula>10</formula>
    </cfRule>
    <cfRule type="cellIs" dxfId="774" priority="58" stopIfTrue="1" operator="greaterThan">
      <formula>10</formula>
    </cfRule>
  </conditionalFormatting>
  <conditionalFormatting sqref="J11:M13">
    <cfRule type="cellIs" dxfId="773" priority="51" stopIfTrue="1" operator="greaterThan">
      <formula>10</formula>
    </cfRule>
    <cfRule type="cellIs" dxfId="772" priority="52" stopIfTrue="1" operator="greaterThan">
      <formula>10</formula>
    </cfRule>
    <cfRule type="cellIs" dxfId="771" priority="53" stopIfTrue="1" operator="greaterThan">
      <formula>10</formula>
    </cfRule>
    <cfRule type="cellIs" dxfId="770" priority="54" stopIfTrue="1" operator="greaterThan">
      <formula>10</formula>
    </cfRule>
  </conditionalFormatting>
  <conditionalFormatting sqref="J14:M37">
    <cfRule type="cellIs" dxfId="769" priority="47" stopIfTrue="1" operator="greaterThan">
      <formula>10</formula>
    </cfRule>
    <cfRule type="cellIs" dxfId="768" priority="48" stopIfTrue="1" operator="greaterThan">
      <formula>10</formula>
    </cfRule>
    <cfRule type="cellIs" dxfId="767" priority="49" stopIfTrue="1" operator="greaterThan">
      <formula>10</formula>
    </cfRule>
    <cfRule type="cellIs" dxfId="766" priority="50" stopIfTrue="1" operator="greaterThan">
      <formula>10</formula>
    </cfRule>
  </conditionalFormatting>
  <conditionalFormatting sqref="C10:C37">
    <cfRule type="duplicateValues" dxfId="765" priority="205" stopIfTrue="1"/>
    <cfRule type="duplicateValues" dxfId="764" priority="206" stopIfTrue="1"/>
  </conditionalFormatting>
  <conditionalFormatting sqref="J38:M38">
    <cfRule type="cellIs" dxfId="763" priority="41" stopIfTrue="1" operator="greaterThan">
      <formula>10</formula>
    </cfRule>
    <cfRule type="cellIs" dxfId="762" priority="42" stopIfTrue="1" operator="greaterThan">
      <formula>10</formula>
    </cfRule>
    <cfRule type="cellIs" dxfId="761" priority="43" stopIfTrue="1" operator="greaterThan">
      <formula>10</formula>
    </cfRule>
    <cfRule type="cellIs" dxfId="760" priority="44" stopIfTrue="1" operator="greaterThan">
      <formula>10</formula>
    </cfRule>
  </conditionalFormatting>
  <conditionalFormatting sqref="J39:M41">
    <cfRule type="cellIs" dxfId="759" priority="37" stopIfTrue="1" operator="greaterThan">
      <formula>10</formula>
    </cfRule>
    <cfRule type="cellIs" dxfId="758" priority="38" stopIfTrue="1" operator="greaterThan">
      <formula>10</formula>
    </cfRule>
    <cfRule type="cellIs" dxfId="757" priority="39" stopIfTrue="1" operator="greaterThan">
      <formula>10</formula>
    </cfRule>
    <cfRule type="cellIs" dxfId="756" priority="40" stopIfTrue="1" operator="greaterThan">
      <formula>10</formula>
    </cfRule>
  </conditionalFormatting>
  <conditionalFormatting sqref="J42:M59 J64:M65">
    <cfRule type="cellIs" dxfId="755" priority="33" stopIfTrue="1" operator="greaterThan">
      <formula>10</formula>
    </cfRule>
    <cfRule type="cellIs" dxfId="754" priority="34" stopIfTrue="1" operator="greaterThan">
      <formula>10</formula>
    </cfRule>
    <cfRule type="cellIs" dxfId="753" priority="35" stopIfTrue="1" operator="greaterThan">
      <formula>10</formula>
    </cfRule>
    <cfRule type="cellIs" dxfId="752" priority="36" stopIfTrue="1" operator="greaterThan">
      <formula>10</formula>
    </cfRule>
  </conditionalFormatting>
  <conditionalFormatting sqref="J60:M61">
    <cfRule type="cellIs" dxfId="751" priority="27" stopIfTrue="1" operator="greaterThan">
      <formula>10</formula>
    </cfRule>
    <cfRule type="cellIs" dxfId="750" priority="28" stopIfTrue="1" operator="greaterThan">
      <formula>10</formula>
    </cfRule>
    <cfRule type="cellIs" dxfId="749" priority="29" stopIfTrue="1" operator="greaterThan">
      <formula>10</formula>
    </cfRule>
    <cfRule type="cellIs" dxfId="748" priority="30" stopIfTrue="1" operator="greaterThan">
      <formula>10</formula>
    </cfRule>
  </conditionalFormatting>
  <conditionalFormatting sqref="C60:C61">
    <cfRule type="duplicateValues" dxfId="747" priority="31" stopIfTrue="1"/>
    <cfRule type="duplicateValues" dxfId="746" priority="32" stopIfTrue="1"/>
  </conditionalFormatting>
  <conditionalFormatting sqref="J62:M63">
    <cfRule type="cellIs" dxfId="745" priority="21" stopIfTrue="1" operator="greaterThan">
      <formula>10</formula>
    </cfRule>
    <cfRule type="cellIs" dxfId="744" priority="22" stopIfTrue="1" operator="greaterThan">
      <formula>10</formula>
    </cfRule>
    <cfRule type="cellIs" dxfId="743" priority="23" stopIfTrue="1" operator="greaterThan">
      <formula>10</formula>
    </cfRule>
    <cfRule type="cellIs" dxfId="742" priority="24" stopIfTrue="1" operator="greaterThan">
      <formula>10</formula>
    </cfRule>
  </conditionalFormatting>
  <conditionalFormatting sqref="C62:C63">
    <cfRule type="duplicateValues" dxfId="741" priority="25" stopIfTrue="1"/>
    <cfRule type="duplicateValues" dxfId="740" priority="26" stopIfTrue="1"/>
  </conditionalFormatting>
  <conditionalFormatting sqref="C38:C59 C64:C65">
    <cfRule type="duplicateValues" dxfId="739" priority="45" stopIfTrue="1"/>
    <cfRule type="duplicateValues" dxfId="738" priority="46" stopIfTrue="1"/>
  </conditionalFormatting>
  <conditionalFormatting sqref="J66:M66">
    <cfRule type="cellIs" dxfId="737" priority="15" stopIfTrue="1" operator="greaterThan">
      <formula>10</formula>
    </cfRule>
    <cfRule type="cellIs" dxfId="736" priority="16" stopIfTrue="1" operator="greaterThan">
      <formula>10</formula>
    </cfRule>
    <cfRule type="cellIs" dxfId="735" priority="17" stopIfTrue="1" operator="greaterThan">
      <formula>10</formula>
    </cfRule>
    <cfRule type="cellIs" dxfId="734" priority="18" stopIfTrue="1" operator="greaterThan">
      <formula>10</formula>
    </cfRule>
  </conditionalFormatting>
  <conditionalFormatting sqref="J67:M69">
    <cfRule type="cellIs" dxfId="733" priority="11" stopIfTrue="1" operator="greaterThan">
      <formula>10</formula>
    </cfRule>
    <cfRule type="cellIs" dxfId="732" priority="12" stopIfTrue="1" operator="greaterThan">
      <formula>10</formula>
    </cfRule>
    <cfRule type="cellIs" dxfId="731" priority="13" stopIfTrue="1" operator="greaterThan">
      <formula>10</formula>
    </cfRule>
    <cfRule type="cellIs" dxfId="730" priority="14" stopIfTrue="1" operator="greaterThan">
      <formula>10</formula>
    </cfRule>
  </conditionalFormatting>
  <conditionalFormatting sqref="J70:M84 J88:M93">
    <cfRule type="cellIs" dxfId="729" priority="7" stopIfTrue="1" operator="greaterThan">
      <formula>10</formula>
    </cfRule>
    <cfRule type="cellIs" dxfId="728" priority="8" stopIfTrue="1" operator="greaterThan">
      <formula>10</formula>
    </cfRule>
    <cfRule type="cellIs" dxfId="727" priority="9" stopIfTrue="1" operator="greaterThan">
      <formula>10</formula>
    </cfRule>
    <cfRule type="cellIs" dxfId="726" priority="10" stopIfTrue="1" operator="greaterThan">
      <formula>10</formula>
    </cfRule>
  </conditionalFormatting>
  <conditionalFormatting sqref="J85:M87">
    <cfRule type="cellIs" dxfId="725" priority="1" stopIfTrue="1" operator="greaterThan">
      <formula>10</formula>
    </cfRule>
    <cfRule type="cellIs" dxfId="724" priority="2" stopIfTrue="1" operator="greaterThan">
      <formula>10</formula>
    </cfRule>
    <cfRule type="cellIs" dxfId="723" priority="3" stopIfTrue="1" operator="greaterThan">
      <formula>10</formula>
    </cfRule>
    <cfRule type="cellIs" dxfId="722" priority="4" stopIfTrue="1" operator="greaterThan">
      <formula>10</formula>
    </cfRule>
  </conditionalFormatting>
  <conditionalFormatting sqref="C85:C87">
    <cfRule type="duplicateValues" dxfId="721" priority="5" stopIfTrue="1"/>
    <cfRule type="duplicateValues" dxfId="720" priority="6" stopIfTrue="1"/>
  </conditionalFormatting>
  <conditionalFormatting sqref="C66:C84 C88:C93">
    <cfRule type="duplicateValues" dxfId="719" priority="19" stopIfTrue="1"/>
    <cfRule type="duplicateValues" dxfId="718" priority="20" stopIfTrue="1"/>
  </conditionalFormatting>
  <dataValidations count="1">
    <dataValidation type="decimal" allowBlank="1" showInputMessage="1" showErrorMessage="1" error="Sai định dạng" sqref="J10:M93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B1:N107"/>
  <sheetViews>
    <sheetView topLeftCell="A83" workbookViewId="0">
      <selection activeCell="B11" sqref="B11:B94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2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BAS1224_13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33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673</v>
      </c>
      <c r="D10" s="9" t="s">
        <v>674</v>
      </c>
      <c r="E10" s="11" t="s">
        <v>26</v>
      </c>
      <c r="F10" s="19" t="s">
        <v>675</v>
      </c>
      <c r="G10" s="19" t="s">
        <v>397</v>
      </c>
      <c r="H10" s="19">
        <v>4</v>
      </c>
      <c r="I10" s="19" t="s">
        <v>676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677</v>
      </c>
      <c r="D11" s="10" t="s">
        <v>678</v>
      </c>
      <c r="E11" s="12" t="s">
        <v>27</v>
      </c>
      <c r="F11" s="20" t="s">
        <v>82</v>
      </c>
      <c r="G11" s="20" t="s">
        <v>397</v>
      </c>
      <c r="H11" s="20">
        <v>4</v>
      </c>
      <c r="I11" s="20" t="s">
        <v>676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679</v>
      </c>
      <c r="D12" s="10" t="s">
        <v>318</v>
      </c>
      <c r="E12" s="12" t="s">
        <v>27</v>
      </c>
      <c r="F12" s="20" t="s">
        <v>396</v>
      </c>
      <c r="G12" s="20" t="s">
        <v>397</v>
      </c>
      <c r="H12" s="20">
        <v>4</v>
      </c>
      <c r="I12" s="20" t="s">
        <v>676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680</v>
      </c>
      <c r="D13" s="10" t="s">
        <v>681</v>
      </c>
      <c r="E13" s="12" t="s">
        <v>27</v>
      </c>
      <c r="F13" s="20" t="s">
        <v>410</v>
      </c>
      <c r="G13" s="20" t="s">
        <v>397</v>
      </c>
      <c r="H13" s="20">
        <v>4</v>
      </c>
      <c r="I13" s="20" t="s">
        <v>676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682</v>
      </c>
      <c r="D14" s="10" t="s">
        <v>37</v>
      </c>
      <c r="E14" s="12" t="s">
        <v>27</v>
      </c>
      <c r="F14" s="20" t="s">
        <v>683</v>
      </c>
      <c r="G14" s="20" t="s">
        <v>397</v>
      </c>
      <c r="H14" s="20">
        <v>4</v>
      </c>
      <c r="I14" s="20" t="s">
        <v>676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684</v>
      </c>
      <c r="D15" s="10" t="s">
        <v>68</v>
      </c>
      <c r="E15" s="12" t="s">
        <v>27</v>
      </c>
      <c r="F15" s="20" t="s">
        <v>396</v>
      </c>
      <c r="G15" s="20" t="s">
        <v>397</v>
      </c>
      <c r="H15" s="20">
        <v>4</v>
      </c>
      <c r="I15" s="20" t="s">
        <v>676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685</v>
      </c>
      <c r="D16" s="10" t="s">
        <v>686</v>
      </c>
      <c r="E16" s="12" t="s">
        <v>265</v>
      </c>
      <c r="F16" s="20" t="s">
        <v>687</v>
      </c>
      <c r="G16" s="20" t="s">
        <v>397</v>
      </c>
      <c r="H16" s="20">
        <v>4</v>
      </c>
      <c r="I16" s="20" t="s">
        <v>676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688</v>
      </c>
      <c r="D17" s="10" t="s">
        <v>689</v>
      </c>
      <c r="E17" s="12" t="s">
        <v>418</v>
      </c>
      <c r="F17" s="20" t="s">
        <v>690</v>
      </c>
      <c r="G17" s="20" t="s">
        <v>397</v>
      </c>
      <c r="H17" s="20">
        <v>4</v>
      </c>
      <c r="I17" s="20" t="s">
        <v>676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691</v>
      </c>
      <c r="D18" s="10" t="s">
        <v>177</v>
      </c>
      <c r="E18" s="12" t="s">
        <v>230</v>
      </c>
      <c r="F18" s="20" t="s">
        <v>692</v>
      </c>
      <c r="G18" s="20" t="s">
        <v>397</v>
      </c>
      <c r="H18" s="20">
        <v>4</v>
      </c>
      <c r="I18" s="20" t="s">
        <v>676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693</v>
      </c>
      <c r="D19" s="10" t="s">
        <v>319</v>
      </c>
      <c r="E19" s="12" t="s">
        <v>36</v>
      </c>
      <c r="F19" s="20" t="s">
        <v>694</v>
      </c>
      <c r="G19" s="20" t="s">
        <v>397</v>
      </c>
      <c r="H19" s="20">
        <v>4</v>
      </c>
      <c r="I19" s="20" t="s">
        <v>676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695</v>
      </c>
      <c r="D20" s="10" t="s">
        <v>68</v>
      </c>
      <c r="E20" s="12" t="s">
        <v>36</v>
      </c>
      <c r="F20" s="20" t="s">
        <v>696</v>
      </c>
      <c r="G20" s="20" t="s">
        <v>397</v>
      </c>
      <c r="H20" s="20">
        <v>4</v>
      </c>
      <c r="I20" s="20" t="s">
        <v>676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697</v>
      </c>
      <c r="D21" s="10" t="s">
        <v>247</v>
      </c>
      <c r="E21" s="12" t="s">
        <v>36</v>
      </c>
      <c r="F21" s="20" t="s">
        <v>675</v>
      </c>
      <c r="G21" s="20" t="s">
        <v>397</v>
      </c>
      <c r="H21" s="20">
        <v>4</v>
      </c>
      <c r="I21" s="20" t="s">
        <v>676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698</v>
      </c>
      <c r="D22" s="10" t="s">
        <v>699</v>
      </c>
      <c r="E22" s="12" t="s">
        <v>39</v>
      </c>
      <c r="F22" s="20" t="s">
        <v>117</v>
      </c>
      <c r="G22" s="20" t="s">
        <v>397</v>
      </c>
      <c r="H22" s="20">
        <v>4</v>
      </c>
      <c r="I22" s="20" t="s">
        <v>676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700</v>
      </c>
      <c r="D23" s="10" t="s">
        <v>184</v>
      </c>
      <c r="E23" s="12" t="s">
        <v>39</v>
      </c>
      <c r="F23" s="20" t="s">
        <v>701</v>
      </c>
      <c r="G23" s="20" t="s">
        <v>397</v>
      </c>
      <c r="H23" s="20">
        <v>4</v>
      </c>
      <c r="I23" s="20" t="s">
        <v>676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702</v>
      </c>
      <c r="D24" s="10" t="s">
        <v>242</v>
      </c>
      <c r="E24" s="12" t="s">
        <v>378</v>
      </c>
      <c r="F24" s="20" t="s">
        <v>703</v>
      </c>
      <c r="G24" s="20" t="s">
        <v>397</v>
      </c>
      <c r="H24" s="20">
        <v>4</v>
      </c>
      <c r="I24" s="20" t="s">
        <v>676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704</v>
      </c>
      <c r="D25" s="10" t="s">
        <v>705</v>
      </c>
      <c r="E25" s="12" t="s">
        <v>297</v>
      </c>
      <c r="F25" s="20" t="s">
        <v>683</v>
      </c>
      <c r="G25" s="20" t="s">
        <v>397</v>
      </c>
      <c r="H25" s="20">
        <v>4</v>
      </c>
      <c r="I25" s="20" t="s">
        <v>676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706</v>
      </c>
      <c r="D26" s="10" t="s">
        <v>234</v>
      </c>
      <c r="E26" s="12" t="s">
        <v>44</v>
      </c>
      <c r="F26" s="20" t="s">
        <v>683</v>
      </c>
      <c r="G26" s="20" t="s">
        <v>397</v>
      </c>
      <c r="H26" s="20">
        <v>4</v>
      </c>
      <c r="I26" s="20" t="s">
        <v>676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707</v>
      </c>
      <c r="D27" s="10" t="s">
        <v>708</v>
      </c>
      <c r="E27" s="12" t="s">
        <v>212</v>
      </c>
      <c r="F27" s="20" t="s">
        <v>52</v>
      </c>
      <c r="G27" s="20" t="s">
        <v>397</v>
      </c>
      <c r="H27" s="20">
        <v>4</v>
      </c>
      <c r="I27" s="20" t="s">
        <v>676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709</v>
      </c>
      <c r="D28" s="10" t="s">
        <v>496</v>
      </c>
      <c r="E28" s="12" t="s">
        <v>188</v>
      </c>
      <c r="F28" s="20" t="s">
        <v>694</v>
      </c>
      <c r="G28" s="20" t="s">
        <v>397</v>
      </c>
      <c r="H28" s="20">
        <v>4</v>
      </c>
      <c r="I28" s="20" t="s">
        <v>676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710</v>
      </c>
      <c r="D29" s="10" t="s">
        <v>157</v>
      </c>
      <c r="E29" s="12" t="s">
        <v>46</v>
      </c>
      <c r="F29" s="20" t="s">
        <v>444</v>
      </c>
      <c r="G29" s="20" t="s">
        <v>397</v>
      </c>
      <c r="H29" s="20">
        <v>4</v>
      </c>
      <c r="I29" s="20" t="s">
        <v>676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711</v>
      </c>
      <c r="D30" s="10" t="s">
        <v>712</v>
      </c>
      <c r="E30" s="12" t="s">
        <v>235</v>
      </c>
      <c r="F30" s="20" t="s">
        <v>675</v>
      </c>
      <c r="G30" s="20" t="s">
        <v>397</v>
      </c>
      <c r="H30" s="20">
        <v>4</v>
      </c>
      <c r="I30" s="20" t="s">
        <v>676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713</v>
      </c>
      <c r="D31" s="10" t="s">
        <v>76</v>
      </c>
      <c r="E31" s="12" t="s">
        <v>48</v>
      </c>
      <c r="F31" s="20" t="s">
        <v>117</v>
      </c>
      <c r="G31" s="20" t="s">
        <v>397</v>
      </c>
      <c r="H31" s="20">
        <v>4</v>
      </c>
      <c r="I31" s="20" t="s">
        <v>676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714</v>
      </c>
      <c r="D32" s="10" t="s">
        <v>715</v>
      </c>
      <c r="E32" s="12" t="s">
        <v>49</v>
      </c>
      <c r="F32" s="20" t="s">
        <v>432</v>
      </c>
      <c r="G32" s="20" t="s">
        <v>397</v>
      </c>
      <c r="H32" s="20">
        <v>4</v>
      </c>
      <c r="I32" s="20" t="s">
        <v>676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716</v>
      </c>
      <c r="D33" s="10" t="s">
        <v>214</v>
      </c>
      <c r="E33" s="12" t="s">
        <v>49</v>
      </c>
      <c r="F33" s="20" t="s">
        <v>694</v>
      </c>
      <c r="G33" s="20" t="s">
        <v>397</v>
      </c>
      <c r="H33" s="20">
        <v>4</v>
      </c>
      <c r="I33" s="20" t="s">
        <v>676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717</v>
      </c>
      <c r="D34" s="10" t="s">
        <v>57</v>
      </c>
      <c r="E34" s="12" t="s">
        <v>49</v>
      </c>
      <c r="F34" s="20" t="s">
        <v>38</v>
      </c>
      <c r="G34" s="20" t="s">
        <v>397</v>
      </c>
      <c r="H34" s="20">
        <v>4</v>
      </c>
      <c r="I34" s="20" t="s">
        <v>676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718</v>
      </c>
      <c r="D35" s="10" t="s">
        <v>434</v>
      </c>
      <c r="E35" s="12" t="s">
        <v>49</v>
      </c>
      <c r="F35" s="20" t="s">
        <v>696</v>
      </c>
      <c r="G35" s="20" t="s">
        <v>397</v>
      </c>
      <c r="H35" s="20">
        <v>4</v>
      </c>
      <c r="I35" s="20" t="s">
        <v>676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719</v>
      </c>
      <c r="D36" s="10" t="s">
        <v>177</v>
      </c>
      <c r="E36" s="12" t="s">
        <v>49</v>
      </c>
      <c r="F36" s="20" t="s">
        <v>720</v>
      </c>
      <c r="G36" s="20" t="s">
        <v>397</v>
      </c>
      <c r="H36" s="20">
        <v>4</v>
      </c>
      <c r="I36" s="20" t="s">
        <v>676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721</v>
      </c>
      <c r="D37" s="10" t="s">
        <v>189</v>
      </c>
      <c r="E37" s="12" t="s">
        <v>49</v>
      </c>
      <c r="F37" s="20" t="s">
        <v>412</v>
      </c>
      <c r="G37" s="20" t="s">
        <v>397</v>
      </c>
      <c r="H37" s="20">
        <v>4</v>
      </c>
      <c r="I37" s="20" t="s">
        <v>676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722</v>
      </c>
      <c r="D38" s="10" t="s">
        <v>189</v>
      </c>
      <c r="E38" s="12" t="s">
        <v>49</v>
      </c>
      <c r="F38" s="20" t="s">
        <v>690</v>
      </c>
      <c r="G38" s="20" t="s">
        <v>397</v>
      </c>
      <c r="H38" s="20">
        <v>4</v>
      </c>
      <c r="I38" s="20" t="s">
        <v>676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723</v>
      </c>
      <c r="D39" s="9" t="s">
        <v>724</v>
      </c>
      <c r="E39" s="11" t="s">
        <v>140</v>
      </c>
      <c r="F39" s="19" t="s">
        <v>692</v>
      </c>
      <c r="G39" s="19" t="s">
        <v>397</v>
      </c>
      <c r="H39" s="19">
        <v>4</v>
      </c>
      <c r="I39" s="19" t="s">
        <v>676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725</v>
      </c>
      <c r="D40" s="10" t="s">
        <v>652</v>
      </c>
      <c r="E40" s="12" t="s">
        <v>53</v>
      </c>
      <c r="F40" s="20" t="s">
        <v>696</v>
      </c>
      <c r="G40" s="20" t="s">
        <v>397</v>
      </c>
      <c r="H40" s="20">
        <v>4</v>
      </c>
      <c r="I40" s="20" t="s">
        <v>676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726</v>
      </c>
      <c r="D41" s="10" t="s">
        <v>727</v>
      </c>
      <c r="E41" s="12" t="s">
        <v>53</v>
      </c>
      <c r="F41" s="20" t="s">
        <v>690</v>
      </c>
      <c r="G41" s="20" t="s">
        <v>397</v>
      </c>
      <c r="H41" s="20">
        <v>4</v>
      </c>
      <c r="I41" s="20" t="s">
        <v>676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6" si="1">+IF(OR($J41=0,$K41=0,$L41=0,$M41=0),"Không đủ ĐKDT","")</f>
        <v/>
      </c>
    </row>
    <row r="42" spans="2:14" ht="16.5" customHeight="1">
      <c r="B42" s="15">
        <v>33</v>
      </c>
      <c r="C42" s="22" t="s">
        <v>728</v>
      </c>
      <c r="D42" s="10" t="s">
        <v>371</v>
      </c>
      <c r="E42" s="12" t="s">
        <v>729</v>
      </c>
      <c r="F42" s="20" t="s">
        <v>412</v>
      </c>
      <c r="G42" s="20" t="s">
        <v>397</v>
      </c>
      <c r="H42" s="20">
        <v>4</v>
      </c>
      <c r="I42" s="20" t="s">
        <v>676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730</v>
      </c>
      <c r="D43" s="10" t="s">
        <v>731</v>
      </c>
      <c r="E43" s="12" t="s">
        <v>56</v>
      </c>
      <c r="F43" s="20" t="s">
        <v>687</v>
      </c>
      <c r="G43" s="20" t="s">
        <v>397</v>
      </c>
      <c r="H43" s="20">
        <v>4</v>
      </c>
      <c r="I43" s="20" t="s">
        <v>676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732</v>
      </c>
      <c r="D44" s="10" t="s">
        <v>139</v>
      </c>
      <c r="E44" s="12" t="s">
        <v>58</v>
      </c>
      <c r="F44" s="20" t="s">
        <v>720</v>
      </c>
      <c r="G44" s="20" t="s">
        <v>397</v>
      </c>
      <c r="H44" s="20">
        <v>4</v>
      </c>
      <c r="I44" s="20" t="s">
        <v>676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733</v>
      </c>
      <c r="D45" s="10" t="s">
        <v>320</v>
      </c>
      <c r="E45" s="12" t="s">
        <v>67</v>
      </c>
      <c r="F45" s="20" t="s">
        <v>675</v>
      </c>
      <c r="G45" s="20" t="s">
        <v>397</v>
      </c>
      <c r="H45" s="20">
        <v>4</v>
      </c>
      <c r="I45" s="20" t="s">
        <v>676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734</v>
      </c>
      <c r="D46" s="10" t="s">
        <v>735</v>
      </c>
      <c r="E46" s="12" t="s">
        <v>67</v>
      </c>
      <c r="F46" s="20" t="s">
        <v>450</v>
      </c>
      <c r="G46" s="20" t="s">
        <v>397</v>
      </c>
      <c r="H46" s="20">
        <v>4</v>
      </c>
      <c r="I46" s="20" t="s">
        <v>676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736</v>
      </c>
      <c r="D47" s="10" t="s">
        <v>737</v>
      </c>
      <c r="E47" s="12" t="s">
        <v>67</v>
      </c>
      <c r="F47" s="20" t="s">
        <v>412</v>
      </c>
      <c r="G47" s="20" t="s">
        <v>397</v>
      </c>
      <c r="H47" s="20">
        <v>4</v>
      </c>
      <c r="I47" s="20" t="s">
        <v>676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738</v>
      </c>
      <c r="D48" s="10" t="s">
        <v>739</v>
      </c>
      <c r="E48" s="12" t="s">
        <v>142</v>
      </c>
      <c r="F48" s="20" t="s">
        <v>690</v>
      </c>
      <c r="G48" s="20" t="s">
        <v>397</v>
      </c>
      <c r="H48" s="20">
        <v>4</v>
      </c>
      <c r="I48" s="20" t="s">
        <v>676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740</v>
      </c>
      <c r="D49" s="10" t="s">
        <v>741</v>
      </c>
      <c r="E49" s="12" t="s">
        <v>143</v>
      </c>
      <c r="F49" s="20" t="s">
        <v>687</v>
      </c>
      <c r="G49" s="20" t="s">
        <v>397</v>
      </c>
      <c r="H49" s="20">
        <v>4</v>
      </c>
      <c r="I49" s="20" t="s">
        <v>676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742</v>
      </c>
      <c r="D50" s="10" t="s">
        <v>743</v>
      </c>
      <c r="E50" s="12" t="s">
        <v>143</v>
      </c>
      <c r="F50" s="20" t="s">
        <v>701</v>
      </c>
      <c r="G50" s="20" t="s">
        <v>397</v>
      </c>
      <c r="H50" s="20">
        <v>4</v>
      </c>
      <c r="I50" s="20" t="s">
        <v>676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744</v>
      </c>
      <c r="D51" s="10" t="s">
        <v>603</v>
      </c>
      <c r="E51" s="12" t="s">
        <v>143</v>
      </c>
      <c r="F51" s="20" t="s">
        <v>569</v>
      </c>
      <c r="G51" s="20" t="s">
        <v>397</v>
      </c>
      <c r="H51" s="20">
        <v>4</v>
      </c>
      <c r="I51" s="20" t="s">
        <v>676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745</v>
      </c>
      <c r="D52" s="10" t="s">
        <v>746</v>
      </c>
      <c r="E52" s="12" t="s">
        <v>71</v>
      </c>
      <c r="F52" s="20" t="s">
        <v>117</v>
      </c>
      <c r="G52" s="20" t="s">
        <v>397</v>
      </c>
      <c r="H52" s="20">
        <v>4</v>
      </c>
      <c r="I52" s="20" t="s">
        <v>676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747</v>
      </c>
      <c r="D53" s="10" t="s">
        <v>242</v>
      </c>
      <c r="E53" s="12" t="s">
        <v>72</v>
      </c>
      <c r="F53" s="20" t="s">
        <v>468</v>
      </c>
      <c r="G53" s="20" t="s">
        <v>397</v>
      </c>
      <c r="H53" s="20">
        <v>4</v>
      </c>
      <c r="I53" s="20" t="s">
        <v>676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748</v>
      </c>
      <c r="D54" s="10" t="s">
        <v>749</v>
      </c>
      <c r="E54" s="12" t="s">
        <v>72</v>
      </c>
      <c r="F54" s="20" t="s">
        <v>690</v>
      </c>
      <c r="G54" s="20" t="s">
        <v>397</v>
      </c>
      <c r="H54" s="20">
        <v>4</v>
      </c>
      <c r="I54" s="20" t="s">
        <v>676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750</v>
      </c>
      <c r="D55" s="10" t="s">
        <v>751</v>
      </c>
      <c r="E55" s="12" t="s">
        <v>190</v>
      </c>
      <c r="F55" s="20" t="s">
        <v>675</v>
      </c>
      <c r="G55" s="20" t="s">
        <v>397</v>
      </c>
      <c r="H55" s="20">
        <v>4</v>
      </c>
      <c r="I55" s="20" t="s">
        <v>676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752</v>
      </c>
      <c r="D56" s="10" t="s">
        <v>79</v>
      </c>
      <c r="E56" s="12" t="s">
        <v>753</v>
      </c>
      <c r="F56" s="20" t="s">
        <v>683</v>
      </c>
      <c r="G56" s="20" t="s">
        <v>397</v>
      </c>
      <c r="H56" s="20">
        <v>4</v>
      </c>
      <c r="I56" s="20" t="s">
        <v>676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754</v>
      </c>
      <c r="D57" s="10" t="s">
        <v>76</v>
      </c>
      <c r="E57" s="12" t="s">
        <v>755</v>
      </c>
      <c r="F57" s="20" t="s">
        <v>756</v>
      </c>
      <c r="G57" s="20" t="s">
        <v>397</v>
      </c>
      <c r="H57" s="20">
        <v>4</v>
      </c>
      <c r="I57" s="20" t="s">
        <v>676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757</v>
      </c>
      <c r="D58" s="10" t="s">
        <v>283</v>
      </c>
      <c r="E58" s="12" t="s">
        <v>73</v>
      </c>
      <c r="F58" s="20" t="s">
        <v>30</v>
      </c>
      <c r="G58" s="20" t="s">
        <v>397</v>
      </c>
      <c r="H58" s="20">
        <v>4</v>
      </c>
      <c r="I58" s="20" t="s">
        <v>676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758</v>
      </c>
      <c r="D59" s="10" t="s">
        <v>382</v>
      </c>
      <c r="E59" s="12" t="s">
        <v>75</v>
      </c>
      <c r="F59" s="20" t="s">
        <v>701</v>
      </c>
      <c r="G59" s="20" t="s">
        <v>397</v>
      </c>
      <c r="H59" s="20">
        <v>4</v>
      </c>
      <c r="I59" s="20" t="s">
        <v>676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759</v>
      </c>
      <c r="D60" s="10" t="s">
        <v>760</v>
      </c>
      <c r="E60" s="12" t="s">
        <v>77</v>
      </c>
      <c r="F60" s="20" t="s">
        <v>694</v>
      </c>
      <c r="G60" s="20" t="s">
        <v>397</v>
      </c>
      <c r="H60" s="20">
        <v>4</v>
      </c>
      <c r="I60" s="20" t="s">
        <v>676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761</v>
      </c>
      <c r="D61" s="10" t="s">
        <v>762</v>
      </c>
      <c r="E61" s="12" t="s">
        <v>77</v>
      </c>
      <c r="F61" s="20" t="s">
        <v>420</v>
      </c>
      <c r="G61" s="20" t="s">
        <v>397</v>
      </c>
      <c r="H61" s="20">
        <v>4</v>
      </c>
      <c r="I61" s="20" t="s">
        <v>676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763</v>
      </c>
      <c r="D62" s="10" t="s">
        <v>37</v>
      </c>
      <c r="E62" s="12" t="s">
        <v>77</v>
      </c>
      <c r="F62" s="20" t="s">
        <v>701</v>
      </c>
      <c r="G62" s="20" t="s">
        <v>397</v>
      </c>
      <c r="H62" s="20">
        <v>4</v>
      </c>
      <c r="I62" s="20" t="s">
        <v>676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764</v>
      </c>
      <c r="D63" s="10" t="s">
        <v>765</v>
      </c>
      <c r="E63" s="12" t="s">
        <v>77</v>
      </c>
      <c r="F63" s="20" t="s">
        <v>701</v>
      </c>
      <c r="G63" s="20" t="s">
        <v>397</v>
      </c>
      <c r="H63" s="20">
        <v>4</v>
      </c>
      <c r="I63" s="20" t="s">
        <v>676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766</v>
      </c>
      <c r="D64" s="10" t="s">
        <v>767</v>
      </c>
      <c r="E64" s="12" t="s">
        <v>87</v>
      </c>
      <c r="F64" s="20" t="s">
        <v>683</v>
      </c>
      <c r="G64" s="20" t="s">
        <v>397</v>
      </c>
      <c r="H64" s="20">
        <v>4</v>
      </c>
      <c r="I64" s="20" t="s">
        <v>676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768</v>
      </c>
      <c r="D65" s="10" t="s">
        <v>88</v>
      </c>
      <c r="E65" s="12" t="s">
        <v>89</v>
      </c>
      <c r="F65" s="20" t="s">
        <v>52</v>
      </c>
      <c r="G65" s="20" t="s">
        <v>397</v>
      </c>
      <c r="H65" s="20">
        <v>4</v>
      </c>
      <c r="I65" s="20" t="s">
        <v>676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769</v>
      </c>
      <c r="D66" s="10" t="s">
        <v>76</v>
      </c>
      <c r="E66" s="12" t="s">
        <v>93</v>
      </c>
      <c r="F66" s="20" t="s">
        <v>444</v>
      </c>
      <c r="G66" s="20" t="s">
        <v>397</v>
      </c>
      <c r="H66" s="20">
        <v>4</v>
      </c>
      <c r="I66" s="20" t="s">
        <v>676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1" t="s">
        <v>770</v>
      </c>
      <c r="D67" s="9" t="s">
        <v>771</v>
      </c>
      <c r="E67" s="11" t="s">
        <v>93</v>
      </c>
      <c r="F67" s="19" t="s">
        <v>683</v>
      </c>
      <c r="G67" s="19" t="s">
        <v>397</v>
      </c>
      <c r="H67" s="19">
        <v>4</v>
      </c>
      <c r="I67" s="19" t="s">
        <v>676</v>
      </c>
      <c r="J67" s="17" t="s">
        <v>13</v>
      </c>
      <c r="K67" s="17" t="s">
        <v>13</v>
      </c>
      <c r="L67" s="17" t="s">
        <v>13</v>
      </c>
      <c r="M67" s="17" t="s">
        <v>13</v>
      </c>
      <c r="N67" s="14" t="str">
        <f>+IF(OR($J67=0,$K67=0,$L67=0,$M67=0),"Không đủ ĐKDT","")</f>
        <v/>
      </c>
    </row>
    <row r="68" spans="2:14" ht="16.5" customHeight="1">
      <c r="B68" s="15">
        <v>59</v>
      </c>
      <c r="C68" s="22" t="s">
        <v>772</v>
      </c>
      <c r="D68" s="10" t="s">
        <v>32</v>
      </c>
      <c r="E68" s="12" t="s">
        <v>95</v>
      </c>
      <c r="F68" s="20" t="s">
        <v>432</v>
      </c>
      <c r="G68" s="20" t="s">
        <v>397</v>
      </c>
      <c r="H68" s="20">
        <v>4</v>
      </c>
      <c r="I68" s="20" t="s">
        <v>676</v>
      </c>
      <c r="J68" s="18" t="s">
        <v>13</v>
      </c>
      <c r="K68" s="18" t="s">
        <v>13</v>
      </c>
      <c r="L68" s="18" t="s">
        <v>13</v>
      </c>
      <c r="M68" s="18" t="s">
        <v>13</v>
      </c>
      <c r="N68" s="16" t="str">
        <f>+IF(OR($J68=0,$K68=0,$L68=0,$M68=0),"Không đủ ĐKDT","")</f>
        <v/>
      </c>
    </row>
    <row r="69" spans="2:14" ht="16.5" customHeight="1">
      <c r="B69" s="15">
        <v>60</v>
      </c>
      <c r="C69" s="22" t="s">
        <v>773</v>
      </c>
      <c r="D69" s="10" t="s">
        <v>119</v>
      </c>
      <c r="E69" s="12" t="s">
        <v>223</v>
      </c>
      <c r="F69" s="20" t="s">
        <v>720</v>
      </c>
      <c r="G69" s="20" t="s">
        <v>397</v>
      </c>
      <c r="H69" s="20">
        <v>4</v>
      </c>
      <c r="I69" s="20" t="s">
        <v>676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 t="shared" ref="N69:N94" si="2">+IF(OR($J69=0,$K69=0,$L69=0,$M69=0),"Không đủ ĐKDT","")</f>
        <v/>
      </c>
    </row>
    <row r="70" spans="2:14" ht="16.5" customHeight="1">
      <c r="B70" s="15">
        <v>61</v>
      </c>
      <c r="C70" s="22" t="s">
        <v>774</v>
      </c>
      <c r="D70" s="10" t="s">
        <v>382</v>
      </c>
      <c r="E70" s="12" t="s">
        <v>101</v>
      </c>
      <c r="F70" s="20" t="s">
        <v>701</v>
      </c>
      <c r="G70" s="20" t="s">
        <v>397</v>
      </c>
      <c r="H70" s="20">
        <v>4</v>
      </c>
      <c r="I70" s="20" t="s">
        <v>676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si="2"/>
        <v/>
      </c>
    </row>
    <row r="71" spans="2:14" ht="16.5" customHeight="1">
      <c r="B71" s="15">
        <v>62</v>
      </c>
      <c r="C71" s="22" t="s">
        <v>775</v>
      </c>
      <c r="D71" s="10" t="s">
        <v>776</v>
      </c>
      <c r="E71" s="12" t="s">
        <v>106</v>
      </c>
      <c r="F71" s="20" t="s">
        <v>692</v>
      </c>
      <c r="G71" s="20" t="s">
        <v>397</v>
      </c>
      <c r="H71" s="20">
        <v>4</v>
      </c>
      <c r="I71" s="20" t="s">
        <v>676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777</v>
      </c>
      <c r="D72" s="10" t="s">
        <v>376</v>
      </c>
      <c r="E72" s="12" t="s">
        <v>106</v>
      </c>
      <c r="F72" s="20" t="s">
        <v>720</v>
      </c>
      <c r="G72" s="20" t="s">
        <v>397</v>
      </c>
      <c r="H72" s="20">
        <v>4</v>
      </c>
      <c r="I72" s="20" t="s">
        <v>676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778</v>
      </c>
      <c r="D73" s="10" t="s">
        <v>78</v>
      </c>
      <c r="E73" s="12" t="s">
        <v>106</v>
      </c>
      <c r="F73" s="20" t="s">
        <v>444</v>
      </c>
      <c r="G73" s="20" t="s">
        <v>397</v>
      </c>
      <c r="H73" s="20">
        <v>4</v>
      </c>
      <c r="I73" s="20" t="s">
        <v>676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779</v>
      </c>
      <c r="D74" s="10" t="s">
        <v>780</v>
      </c>
      <c r="E74" s="12" t="s">
        <v>156</v>
      </c>
      <c r="F74" s="20" t="s">
        <v>43</v>
      </c>
      <c r="G74" s="20" t="s">
        <v>397</v>
      </c>
      <c r="H74" s="20">
        <v>4</v>
      </c>
      <c r="I74" s="20" t="s">
        <v>676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781</v>
      </c>
      <c r="D75" s="10" t="s">
        <v>782</v>
      </c>
      <c r="E75" s="12" t="s">
        <v>158</v>
      </c>
      <c r="F75" s="20" t="s">
        <v>692</v>
      </c>
      <c r="G75" s="20" t="s">
        <v>397</v>
      </c>
      <c r="H75" s="20">
        <v>4</v>
      </c>
      <c r="I75" s="20" t="s">
        <v>676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783</v>
      </c>
      <c r="D76" s="10" t="s">
        <v>76</v>
      </c>
      <c r="E76" s="12" t="s">
        <v>784</v>
      </c>
      <c r="F76" s="20" t="s">
        <v>420</v>
      </c>
      <c r="G76" s="20" t="s">
        <v>397</v>
      </c>
      <c r="H76" s="20">
        <v>4</v>
      </c>
      <c r="I76" s="20" t="s">
        <v>676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785</v>
      </c>
      <c r="D77" s="10" t="s">
        <v>283</v>
      </c>
      <c r="E77" s="12" t="s">
        <v>159</v>
      </c>
      <c r="F77" s="20" t="s">
        <v>683</v>
      </c>
      <c r="G77" s="20" t="s">
        <v>397</v>
      </c>
      <c r="H77" s="20">
        <v>4</v>
      </c>
      <c r="I77" s="20" t="s">
        <v>676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786</v>
      </c>
      <c r="D78" s="10" t="s">
        <v>787</v>
      </c>
      <c r="E78" s="12" t="s">
        <v>159</v>
      </c>
      <c r="F78" s="20" t="s">
        <v>687</v>
      </c>
      <c r="G78" s="20" t="s">
        <v>397</v>
      </c>
      <c r="H78" s="20">
        <v>4</v>
      </c>
      <c r="I78" s="20" t="s">
        <v>676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788</v>
      </c>
      <c r="D79" s="10" t="s">
        <v>119</v>
      </c>
      <c r="E79" s="12" t="s">
        <v>354</v>
      </c>
      <c r="F79" s="20" t="s">
        <v>450</v>
      </c>
      <c r="G79" s="20" t="s">
        <v>397</v>
      </c>
      <c r="H79" s="20">
        <v>4</v>
      </c>
      <c r="I79" s="20" t="s">
        <v>676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789</v>
      </c>
      <c r="D80" s="10" t="s">
        <v>163</v>
      </c>
      <c r="E80" s="12" t="s">
        <v>161</v>
      </c>
      <c r="F80" s="20" t="s">
        <v>692</v>
      </c>
      <c r="G80" s="20" t="s">
        <v>397</v>
      </c>
      <c r="H80" s="20">
        <v>4</v>
      </c>
      <c r="I80" s="20" t="s">
        <v>676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790</v>
      </c>
      <c r="D81" s="10" t="s">
        <v>678</v>
      </c>
      <c r="E81" s="12" t="s">
        <v>791</v>
      </c>
      <c r="F81" s="20" t="s">
        <v>432</v>
      </c>
      <c r="G81" s="20" t="s">
        <v>397</v>
      </c>
      <c r="H81" s="20">
        <v>4</v>
      </c>
      <c r="I81" s="20" t="s">
        <v>676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792</v>
      </c>
      <c r="D82" s="10" t="s">
        <v>78</v>
      </c>
      <c r="E82" s="12" t="s">
        <v>162</v>
      </c>
      <c r="F82" s="20" t="s">
        <v>38</v>
      </c>
      <c r="G82" s="20" t="s">
        <v>397</v>
      </c>
      <c r="H82" s="20">
        <v>4</v>
      </c>
      <c r="I82" s="20" t="s">
        <v>676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793</v>
      </c>
      <c r="D83" s="10" t="s">
        <v>794</v>
      </c>
      <c r="E83" s="12" t="s">
        <v>120</v>
      </c>
      <c r="F83" s="20" t="s">
        <v>405</v>
      </c>
      <c r="G83" s="20" t="s">
        <v>397</v>
      </c>
      <c r="H83" s="20">
        <v>4</v>
      </c>
      <c r="I83" s="20" t="s">
        <v>676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795</v>
      </c>
      <c r="D84" s="10" t="s">
        <v>76</v>
      </c>
      <c r="E84" s="12" t="s">
        <v>796</v>
      </c>
      <c r="F84" s="20" t="s">
        <v>675</v>
      </c>
      <c r="G84" s="20" t="s">
        <v>397</v>
      </c>
      <c r="H84" s="20">
        <v>4</v>
      </c>
      <c r="I84" s="20" t="s">
        <v>676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797</v>
      </c>
      <c r="D85" s="10" t="s">
        <v>168</v>
      </c>
      <c r="E85" s="12" t="s">
        <v>122</v>
      </c>
      <c r="F85" s="20" t="s">
        <v>396</v>
      </c>
      <c r="G85" s="20" t="s">
        <v>397</v>
      </c>
      <c r="H85" s="20">
        <v>4</v>
      </c>
      <c r="I85" s="20" t="s">
        <v>676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798</v>
      </c>
      <c r="D86" s="10" t="s">
        <v>799</v>
      </c>
      <c r="E86" s="12" t="s">
        <v>128</v>
      </c>
      <c r="F86" s="20" t="s">
        <v>456</v>
      </c>
      <c r="G86" s="20" t="s">
        <v>397</v>
      </c>
      <c r="H86" s="20">
        <v>4</v>
      </c>
      <c r="I86" s="20" t="s">
        <v>676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800</v>
      </c>
      <c r="D87" s="10" t="s">
        <v>801</v>
      </c>
      <c r="E87" s="12" t="s">
        <v>128</v>
      </c>
      <c r="F87" s="20" t="s">
        <v>720</v>
      </c>
      <c r="G87" s="20" t="s">
        <v>397</v>
      </c>
      <c r="H87" s="20">
        <v>4</v>
      </c>
      <c r="I87" s="20" t="s">
        <v>676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802</v>
      </c>
      <c r="D88" s="10" t="s">
        <v>63</v>
      </c>
      <c r="E88" s="12" t="s">
        <v>128</v>
      </c>
      <c r="F88" s="20" t="s">
        <v>694</v>
      </c>
      <c r="G88" s="20" t="s">
        <v>397</v>
      </c>
      <c r="H88" s="20">
        <v>4</v>
      </c>
      <c r="I88" s="20" t="s">
        <v>676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803</v>
      </c>
      <c r="D89" s="10" t="s">
        <v>175</v>
      </c>
      <c r="E89" s="12" t="s">
        <v>286</v>
      </c>
      <c r="F89" s="20" t="s">
        <v>117</v>
      </c>
      <c r="G89" s="20" t="s">
        <v>397</v>
      </c>
      <c r="H89" s="20">
        <v>4</v>
      </c>
      <c r="I89" s="20" t="s">
        <v>676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804</v>
      </c>
      <c r="D90" s="10" t="s">
        <v>112</v>
      </c>
      <c r="E90" s="12" t="s">
        <v>805</v>
      </c>
      <c r="F90" s="20" t="s">
        <v>694</v>
      </c>
      <c r="G90" s="20" t="s">
        <v>397</v>
      </c>
      <c r="H90" s="20">
        <v>4</v>
      </c>
      <c r="I90" s="20" t="s">
        <v>676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806</v>
      </c>
      <c r="D91" s="10" t="s">
        <v>177</v>
      </c>
      <c r="E91" s="12" t="s">
        <v>171</v>
      </c>
      <c r="F91" s="20" t="s">
        <v>117</v>
      </c>
      <c r="G91" s="20" t="s">
        <v>397</v>
      </c>
      <c r="H91" s="20">
        <v>4</v>
      </c>
      <c r="I91" s="20" t="s">
        <v>676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807</v>
      </c>
      <c r="D92" s="10" t="s">
        <v>808</v>
      </c>
      <c r="E92" s="12" t="s">
        <v>171</v>
      </c>
      <c r="F92" s="20" t="s">
        <v>809</v>
      </c>
      <c r="G92" s="20" t="s">
        <v>397</v>
      </c>
      <c r="H92" s="20">
        <v>4</v>
      </c>
      <c r="I92" s="20" t="s">
        <v>676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810</v>
      </c>
      <c r="D93" s="10" t="s">
        <v>157</v>
      </c>
      <c r="E93" s="12" t="s">
        <v>278</v>
      </c>
      <c r="F93" s="20" t="s">
        <v>412</v>
      </c>
      <c r="G93" s="20" t="s">
        <v>397</v>
      </c>
      <c r="H93" s="20">
        <v>4</v>
      </c>
      <c r="I93" s="20" t="s">
        <v>676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811</v>
      </c>
      <c r="D94" s="10" t="s">
        <v>812</v>
      </c>
      <c r="E94" s="12" t="s">
        <v>324</v>
      </c>
      <c r="F94" s="20" t="s">
        <v>692</v>
      </c>
      <c r="G94" s="20" t="s">
        <v>397</v>
      </c>
      <c r="H94" s="20">
        <v>4</v>
      </c>
      <c r="I94" s="20" t="s">
        <v>676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9.5" customHeight="1">
      <c r="B95" s="64" t="s">
        <v>20</v>
      </c>
      <c r="C95" s="64"/>
      <c r="D95" s="64"/>
      <c r="E95" s="64"/>
    </row>
    <row r="96" spans="2:14" ht="19.5" customHeight="1">
      <c r="B96" s="55" t="str">
        <f>"Điểm chuyên cần: " &amp; $J$9 &amp; "% "</f>
        <v xml:space="preserve">Điểm chuyên cần: % </v>
      </c>
      <c r="C96" s="55"/>
      <c r="D96" s="55"/>
      <c r="E96" s="55"/>
    </row>
    <row r="97" spans="2:14" ht="19.5" customHeight="1">
      <c r="B97" s="55" t="str">
        <f>"Điểm trung bình kiểm tra: "&amp;$K$9&amp;"%"</f>
        <v>Điểm trung bình kiểm tra: %</v>
      </c>
      <c r="C97" s="55"/>
      <c r="D97" s="55"/>
      <c r="E97" s="55"/>
    </row>
    <row r="98" spans="2:14" ht="19.5" customHeight="1">
      <c r="B98" s="55" t="str">
        <f>"Điểm thí nghiệm, thực hành: "&amp;$L$9&amp;"%"</f>
        <v>Điểm thí nghiệm, thực hành: %</v>
      </c>
      <c r="C98" s="55"/>
      <c r="D98" s="55"/>
      <c r="E98" s="55"/>
    </row>
    <row r="99" spans="2:14" ht="19.5" customHeight="1">
      <c r="B99" s="55" t="str">
        <f>"Điểm bài tập tiểu luận, seminar: "&amp;$M$9&amp;"%"</f>
        <v>Điểm bài tập tiểu luận, seminar: %</v>
      </c>
      <c r="C99" s="55"/>
      <c r="D99" s="55"/>
      <c r="E99" s="55"/>
    </row>
    <row r="100" spans="2:14">
      <c r="J100" s="56" t="s">
        <v>21</v>
      </c>
      <c r="K100" s="56"/>
      <c r="L100" s="56"/>
      <c r="M100" s="56"/>
      <c r="N100" s="56"/>
    </row>
    <row r="101" spans="2:14" ht="32.25" customHeight="1">
      <c r="B101" s="57" t="s">
        <v>17</v>
      </c>
      <c r="C101" s="57"/>
      <c r="D101" s="57"/>
      <c r="E101" s="57"/>
      <c r="F101" s="32"/>
      <c r="G101" s="32"/>
      <c r="H101" s="32"/>
      <c r="I101" s="32"/>
      <c r="J101" s="57" t="s">
        <v>18</v>
      </c>
      <c r="K101" s="57"/>
      <c r="L101" s="57"/>
      <c r="M101" s="57"/>
      <c r="N101" s="57"/>
    </row>
    <row r="107" spans="2:14">
      <c r="J107" s="58"/>
      <c r="K107" s="58"/>
      <c r="L107" s="58"/>
      <c r="M107" s="58"/>
      <c r="N107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8:E98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5:E95"/>
    <mergeCell ref="B96:E96"/>
    <mergeCell ref="B97:E97"/>
    <mergeCell ref="L7:L8"/>
    <mergeCell ref="M7:M8"/>
    <mergeCell ref="B99:E99"/>
    <mergeCell ref="J100:N100"/>
    <mergeCell ref="B101:E101"/>
    <mergeCell ref="J101:N101"/>
    <mergeCell ref="J107:N107"/>
  </mergeCells>
  <conditionalFormatting sqref="J10:M10">
    <cfRule type="cellIs" dxfId="717" priority="55" stopIfTrue="1" operator="greaterThan">
      <formula>10</formula>
    </cfRule>
    <cfRule type="cellIs" dxfId="716" priority="56" stopIfTrue="1" operator="greaterThan">
      <formula>10</formula>
    </cfRule>
    <cfRule type="cellIs" dxfId="715" priority="57" stopIfTrue="1" operator="greaterThan">
      <formula>10</formula>
    </cfRule>
    <cfRule type="cellIs" dxfId="714" priority="58" stopIfTrue="1" operator="greaterThan">
      <formula>10</formula>
    </cfRule>
  </conditionalFormatting>
  <conditionalFormatting sqref="J11:M13">
    <cfRule type="cellIs" dxfId="713" priority="51" stopIfTrue="1" operator="greaterThan">
      <formula>10</formula>
    </cfRule>
    <cfRule type="cellIs" dxfId="712" priority="52" stopIfTrue="1" operator="greaterThan">
      <formula>10</formula>
    </cfRule>
    <cfRule type="cellIs" dxfId="711" priority="53" stopIfTrue="1" operator="greaterThan">
      <formula>10</formula>
    </cfRule>
    <cfRule type="cellIs" dxfId="710" priority="54" stopIfTrue="1" operator="greaterThan">
      <formula>10</formula>
    </cfRule>
  </conditionalFormatting>
  <conditionalFormatting sqref="J14:M38">
    <cfRule type="cellIs" dxfId="709" priority="47" stopIfTrue="1" operator="greaterThan">
      <formula>10</formula>
    </cfRule>
    <cfRule type="cellIs" dxfId="708" priority="48" stopIfTrue="1" operator="greaterThan">
      <formula>10</formula>
    </cfRule>
    <cfRule type="cellIs" dxfId="707" priority="49" stopIfTrue="1" operator="greaterThan">
      <formula>10</formula>
    </cfRule>
    <cfRule type="cellIs" dxfId="706" priority="50" stopIfTrue="1" operator="greaterThan">
      <formula>10</formula>
    </cfRule>
  </conditionalFormatting>
  <conditionalFormatting sqref="C10:C38">
    <cfRule type="duplicateValues" dxfId="705" priority="59" stopIfTrue="1"/>
    <cfRule type="duplicateValues" dxfId="704" priority="60" stopIfTrue="1"/>
  </conditionalFormatting>
  <conditionalFormatting sqref="J39:M39">
    <cfRule type="cellIs" dxfId="703" priority="41" stopIfTrue="1" operator="greaterThan">
      <formula>10</formula>
    </cfRule>
    <cfRule type="cellIs" dxfId="702" priority="42" stopIfTrue="1" operator="greaterThan">
      <formula>10</formula>
    </cfRule>
    <cfRule type="cellIs" dxfId="701" priority="43" stopIfTrue="1" operator="greaterThan">
      <formula>10</formula>
    </cfRule>
    <cfRule type="cellIs" dxfId="700" priority="44" stopIfTrue="1" operator="greaterThan">
      <formula>10</formula>
    </cfRule>
  </conditionalFormatting>
  <conditionalFormatting sqref="J40:M42">
    <cfRule type="cellIs" dxfId="699" priority="37" stopIfTrue="1" operator="greaterThan">
      <formula>10</formula>
    </cfRule>
    <cfRule type="cellIs" dxfId="698" priority="38" stopIfTrue="1" operator="greaterThan">
      <formula>10</formula>
    </cfRule>
    <cfRule type="cellIs" dxfId="697" priority="39" stopIfTrue="1" operator="greaterThan">
      <formula>10</formula>
    </cfRule>
    <cfRule type="cellIs" dxfId="696" priority="40" stopIfTrue="1" operator="greaterThan">
      <formula>10</formula>
    </cfRule>
  </conditionalFormatting>
  <conditionalFormatting sqref="J43:M60 J65:M66">
    <cfRule type="cellIs" dxfId="695" priority="33" stopIfTrue="1" operator="greaterThan">
      <formula>10</formula>
    </cfRule>
    <cfRule type="cellIs" dxfId="694" priority="34" stopIfTrue="1" operator="greaterThan">
      <formula>10</formula>
    </cfRule>
    <cfRule type="cellIs" dxfId="693" priority="35" stopIfTrue="1" operator="greaterThan">
      <formula>10</formula>
    </cfRule>
    <cfRule type="cellIs" dxfId="692" priority="36" stopIfTrue="1" operator="greaterThan">
      <formula>10</formula>
    </cfRule>
  </conditionalFormatting>
  <conditionalFormatting sqref="J61:M62">
    <cfRule type="cellIs" dxfId="691" priority="27" stopIfTrue="1" operator="greaterThan">
      <formula>10</formula>
    </cfRule>
    <cfRule type="cellIs" dxfId="690" priority="28" stopIfTrue="1" operator="greaterThan">
      <formula>10</formula>
    </cfRule>
    <cfRule type="cellIs" dxfId="689" priority="29" stopIfTrue="1" operator="greaterThan">
      <formula>10</formula>
    </cfRule>
    <cfRule type="cellIs" dxfId="688" priority="30" stopIfTrue="1" operator="greaterThan">
      <formula>10</formula>
    </cfRule>
  </conditionalFormatting>
  <conditionalFormatting sqref="C61:C62">
    <cfRule type="duplicateValues" dxfId="687" priority="31" stopIfTrue="1"/>
    <cfRule type="duplicateValues" dxfId="686" priority="32" stopIfTrue="1"/>
  </conditionalFormatting>
  <conditionalFormatting sqref="J63:M64">
    <cfRule type="cellIs" dxfId="685" priority="21" stopIfTrue="1" operator="greaterThan">
      <formula>10</formula>
    </cfRule>
    <cfRule type="cellIs" dxfId="684" priority="22" stopIfTrue="1" operator="greaterThan">
      <formula>10</formula>
    </cfRule>
    <cfRule type="cellIs" dxfId="683" priority="23" stopIfTrue="1" operator="greaterThan">
      <formula>10</formula>
    </cfRule>
    <cfRule type="cellIs" dxfId="682" priority="24" stopIfTrue="1" operator="greaterThan">
      <formula>10</formula>
    </cfRule>
  </conditionalFormatting>
  <conditionalFormatting sqref="C63:C64">
    <cfRule type="duplicateValues" dxfId="681" priority="25" stopIfTrue="1"/>
    <cfRule type="duplicateValues" dxfId="680" priority="26" stopIfTrue="1"/>
  </conditionalFormatting>
  <conditionalFormatting sqref="C39:C60 C65:C66">
    <cfRule type="duplicateValues" dxfId="679" priority="45" stopIfTrue="1"/>
    <cfRule type="duplicateValues" dxfId="678" priority="46" stopIfTrue="1"/>
  </conditionalFormatting>
  <conditionalFormatting sqref="J67:M67">
    <cfRule type="cellIs" dxfId="677" priority="15" stopIfTrue="1" operator="greaterThan">
      <formula>10</formula>
    </cfRule>
    <cfRule type="cellIs" dxfId="676" priority="16" stopIfTrue="1" operator="greaterThan">
      <formula>10</formula>
    </cfRule>
    <cfRule type="cellIs" dxfId="675" priority="17" stopIfTrue="1" operator="greaterThan">
      <formula>10</formula>
    </cfRule>
    <cfRule type="cellIs" dxfId="674" priority="18" stopIfTrue="1" operator="greaterThan">
      <formula>10</formula>
    </cfRule>
  </conditionalFormatting>
  <conditionalFormatting sqref="J68:M70">
    <cfRule type="cellIs" dxfId="673" priority="11" stopIfTrue="1" operator="greaterThan">
      <formula>10</formula>
    </cfRule>
    <cfRule type="cellIs" dxfId="672" priority="12" stopIfTrue="1" operator="greaterThan">
      <formula>10</formula>
    </cfRule>
    <cfRule type="cellIs" dxfId="671" priority="13" stopIfTrue="1" operator="greaterThan">
      <formula>10</formula>
    </cfRule>
    <cfRule type="cellIs" dxfId="670" priority="14" stopIfTrue="1" operator="greaterThan">
      <formula>10</formula>
    </cfRule>
  </conditionalFormatting>
  <conditionalFormatting sqref="J71:M85 J89:M94">
    <cfRule type="cellIs" dxfId="669" priority="7" stopIfTrue="1" operator="greaterThan">
      <formula>10</formula>
    </cfRule>
    <cfRule type="cellIs" dxfId="668" priority="8" stopIfTrue="1" operator="greaterThan">
      <formula>10</formula>
    </cfRule>
    <cfRule type="cellIs" dxfId="667" priority="9" stopIfTrue="1" operator="greaterThan">
      <formula>10</formula>
    </cfRule>
    <cfRule type="cellIs" dxfId="666" priority="10" stopIfTrue="1" operator="greaterThan">
      <formula>10</formula>
    </cfRule>
  </conditionalFormatting>
  <conditionalFormatting sqref="J86:M88">
    <cfRule type="cellIs" dxfId="665" priority="1" stopIfTrue="1" operator="greaterThan">
      <formula>10</formula>
    </cfRule>
    <cfRule type="cellIs" dxfId="664" priority="2" stopIfTrue="1" operator="greaterThan">
      <formula>10</formula>
    </cfRule>
    <cfRule type="cellIs" dxfId="663" priority="3" stopIfTrue="1" operator="greaterThan">
      <formula>10</formula>
    </cfRule>
    <cfRule type="cellIs" dxfId="662" priority="4" stopIfTrue="1" operator="greaterThan">
      <formula>10</formula>
    </cfRule>
  </conditionalFormatting>
  <conditionalFormatting sqref="C86:C88">
    <cfRule type="duplicateValues" dxfId="661" priority="5" stopIfTrue="1"/>
    <cfRule type="duplicateValues" dxfId="660" priority="6" stopIfTrue="1"/>
  </conditionalFormatting>
  <conditionalFormatting sqref="C67:C85 C89:C94">
    <cfRule type="duplicateValues" dxfId="659" priority="19" stopIfTrue="1"/>
    <cfRule type="duplicateValues" dxfId="658" priority="20" stopIfTrue="1"/>
  </conditionalFormatting>
  <dataValidations count="1">
    <dataValidation type="decimal" allowBlank="1" showInputMessage="1" showErrorMessage="1" error="Sai định dạng" sqref="J10:M94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B1:O110"/>
  <sheetViews>
    <sheetView topLeftCell="D70" workbookViewId="0">
      <selection activeCell="Q78" sqref="Q78"/>
    </sheetView>
  </sheetViews>
  <sheetFormatPr defaultColWidth="9" defaultRowHeight="18.75"/>
  <cols>
    <col min="1" max="1" width="0.125" style="1" customWidth="1"/>
    <col min="2" max="2" width="4" style="1" customWidth="1"/>
    <col min="3" max="3" width="12.375" style="28" customWidth="1"/>
    <col min="4" max="4" width="18" style="34" customWidth="1"/>
    <col min="5" max="5" width="11.375" style="34" customWidth="1"/>
    <col min="6" max="6" width="13.625" style="1" customWidth="1"/>
    <col min="7" max="9" width="13.625" style="1" hidden="1" customWidth="1"/>
    <col min="10" max="12" width="4.375" style="1" customWidth="1"/>
    <col min="13" max="13" width="4.25" style="1" customWidth="1"/>
    <col min="14" max="14" width="27.5" style="1" customWidth="1"/>
    <col min="15" max="15" width="9" style="51"/>
    <col min="16" max="16384" width="9" style="1"/>
  </cols>
  <sheetData>
    <row r="1" spans="2:15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5" ht="15.75" customHeight="1">
      <c r="B2" s="86" t="s">
        <v>14</v>
      </c>
      <c r="C2" s="86"/>
      <c r="D2" s="90" t="s">
        <v>349</v>
      </c>
      <c r="E2" s="90"/>
      <c r="F2" s="26"/>
      <c r="G2" s="26"/>
      <c r="H2" s="26"/>
      <c r="I2" s="26"/>
      <c r="J2" s="85"/>
      <c r="K2" s="85"/>
      <c r="L2" s="85"/>
      <c r="M2" s="85"/>
      <c r="N2" s="85"/>
    </row>
    <row r="3" spans="2:15">
      <c r="B3" s="88" t="s">
        <v>15</v>
      </c>
      <c r="C3" s="88"/>
      <c r="D3" s="91" t="s">
        <v>2833</v>
      </c>
      <c r="E3" s="91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5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BAS1224_12</v>
      </c>
    </row>
    <row r="5" spans="2:15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40"/>
    </row>
    <row r="6" spans="2:15" ht="5.25" customHeight="1">
      <c r="B6" s="4"/>
      <c r="C6" s="8"/>
      <c r="D6" s="35"/>
      <c r="E6" s="35"/>
      <c r="F6" s="4"/>
      <c r="G6" s="4"/>
      <c r="H6" s="4"/>
      <c r="I6" s="4"/>
      <c r="J6" s="4"/>
      <c r="K6" s="4"/>
      <c r="L6" s="4"/>
      <c r="M6" s="4"/>
      <c r="N6" s="2"/>
    </row>
    <row r="7" spans="2:15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5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  <c r="O8" s="1"/>
    </row>
    <row r="9" spans="2:15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0">
        <v>0.1</v>
      </c>
      <c r="K9" s="50">
        <v>0.1</v>
      </c>
      <c r="L9" s="50">
        <v>0.2</v>
      </c>
      <c r="M9" s="5"/>
      <c r="N9" s="61"/>
    </row>
    <row r="10" spans="2:15" ht="24.95" customHeight="1">
      <c r="B10" s="13">
        <v>1</v>
      </c>
      <c r="C10" s="21" t="s">
        <v>536</v>
      </c>
      <c r="D10" s="36" t="s">
        <v>537</v>
      </c>
      <c r="E10" s="37" t="s">
        <v>27</v>
      </c>
      <c r="F10" s="19" t="s">
        <v>414</v>
      </c>
      <c r="G10" s="19" t="s">
        <v>397</v>
      </c>
      <c r="H10" s="19">
        <v>4</v>
      </c>
      <c r="I10" s="19" t="s">
        <v>538</v>
      </c>
      <c r="J10" s="17">
        <v>8.5</v>
      </c>
      <c r="K10" s="17">
        <v>9.5</v>
      </c>
      <c r="L10" s="17">
        <v>9</v>
      </c>
      <c r="M10" s="17" t="s">
        <v>13</v>
      </c>
      <c r="N10" s="16"/>
    </row>
    <row r="11" spans="2:15" ht="24.95" customHeight="1">
      <c r="B11" s="15">
        <v>2</v>
      </c>
      <c r="C11" s="22" t="s">
        <v>539</v>
      </c>
      <c r="D11" s="38" t="s">
        <v>540</v>
      </c>
      <c r="E11" s="39" t="s">
        <v>27</v>
      </c>
      <c r="F11" s="20" t="s">
        <v>52</v>
      </c>
      <c r="G11" s="20" t="s">
        <v>397</v>
      </c>
      <c r="H11" s="20">
        <v>4</v>
      </c>
      <c r="I11" s="20" t="s">
        <v>538</v>
      </c>
      <c r="J11" s="18">
        <v>10</v>
      </c>
      <c r="K11" s="18">
        <v>10</v>
      </c>
      <c r="L11" s="18">
        <v>8.5</v>
      </c>
      <c r="M11" s="18" t="s">
        <v>13</v>
      </c>
      <c r="N11" s="16" t="str">
        <f>+IF(OR($J11=0,$K11=0,$L11=0,$M11=0),"Không đủ ĐKDT","")</f>
        <v/>
      </c>
    </row>
    <row r="12" spans="2:15" ht="24.95" customHeight="1">
      <c r="B12" s="15">
        <v>3</v>
      </c>
      <c r="C12" s="22" t="s">
        <v>541</v>
      </c>
      <c r="D12" s="38" t="s">
        <v>542</v>
      </c>
      <c r="E12" s="39" t="s">
        <v>27</v>
      </c>
      <c r="F12" s="20" t="s">
        <v>420</v>
      </c>
      <c r="G12" s="20" t="s">
        <v>397</v>
      </c>
      <c r="H12" s="20">
        <v>4</v>
      </c>
      <c r="I12" s="20" t="s">
        <v>538</v>
      </c>
      <c r="J12" s="18">
        <v>10</v>
      </c>
      <c r="K12" s="18">
        <v>10</v>
      </c>
      <c r="L12" s="18">
        <v>10</v>
      </c>
      <c r="M12" s="18" t="s">
        <v>13</v>
      </c>
      <c r="N12" s="16" t="str">
        <f t="shared" ref="N12:N38" si="0">+IF(OR($J12=0,$K12=0,$L12=0,$M12=0),"Không đủ ĐKDT","")</f>
        <v/>
      </c>
    </row>
    <row r="13" spans="2:15" ht="24.95" customHeight="1">
      <c r="B13" s="15">
        <v>4</v>
      </c>
      <c r="C13" s="22" t="s">
        <v>543</v>
      </c>
      <c r="D13" s="38" t="s">
        <v>174</v>
      </c>
      <c r="E13" s="39" t="s">
        <v>27</v>
      </c>
      <c r="F13" s="20" t="s">
        <v>40</v>
      </c>
      <c r="G13" s="20" t="s">
        <v>397</v>
      </c>
      <c r="H13" s="20">
        <v>4</v>
      </c>
      <c r="I13" s="20" t="s">
        <v>538</v>
      </c>
      <c r="J13" s="18">
        <v>10</v>
      </c>
      <c r="K13" s="18">
        <v>10</v>
      </c>
      <c r="L13" s="18">
        <v>9.5</v>
      </c>
      <c r="M13" s="18" t="s">
        <v>13</v>
      </c>
      <c r="N13" s="16" t="str">
        <f t="shared" si="0"/>
        <v/>
      </c>
    </row>
    <row r="14" spans="2:15" ht="24.95" customHeight="1">
      <c r="B14" s="15">
        <v>5</v>
      </c>
      <c r="C14" s="22" t="s">
        <v>544</v>
      </c>
      <c r="D14" s="38" t="s">
        <v>145</v>
      </c>
      <c r="E14" s="39" t="s">
        <v>27</v>
      </c>
      <c r="F14" s="20" t="s">
        <v>468</v>
      </c>
      <c r="G14" s="20" t="s">
        <v>397</v>
      </c>
      <c r="H14" s="20">
        <v>4</v>
      </c>
      <c r="I14" s="20" t="s">
        <v>538</v>
      </c>
      <c r="J14" s="18">
        <v>8</v>
      </c>
      <c r="K14" s="18">
        <v>10</v>
      </c>
      <c r="L14" s="18">
        <v>10</v>
      </c>
      <c r="M14" s="18" t="s">
        <v>13</v>
      </c>
      <c r="N14" s="16"/>
    </row>
    <row r="15" spans="2:15" ht="24.95" customHeight="1">
      <c r="B15" s="15">
        <v>6</v>
      </c>
      <c r="C15" s="22" t="s">
        <v>545</v>
      </c>
      <c r="D15" s="38" t="s">
        <v>187</v>
      </c>
      <c r="E15" s="39" t="s">
        <v>27</v>
      </c>
      <c r="F15" s="20" t="s">
        <v>82</v>
      </c>
      <c r="G15" s="20" t="s">
        <v>397</v>
      </c>
      <c r="H15" s="20">
        <v>4</v>
      </c>
      <c r="I15" s="20" t="s">
        <v>538</v>
      </c>
      <c r="J15" s="18">
        <v>8</v>
      </c>
      <c r="K15" s="18">
        <v>8</v>
      </c>
      <c r="L15" s="18">
        <v>8</v>
      </c>
      <c r="M15" s="18" t="s">
        <v>13</v>
      </c>
      <c r="N15" s="16"/>
    </row>
    <row r="16" spans="2:15" ht="24.95" customHeight="1">
      <c r="B16" s="15">
        <v>7</v>
      </c>
      <c r="C16" s="22" t="s">
        <v>546</v>
      </c>
      <c r="D16" s="38" t="s">
        <v>547</v>
      </c>
      <c r="E16" s="39" t="s">
        <v>27</v>
      </c>
      <c r="F16" s="20" t="s">
        <v>456</v>
      </c>
      <c r="G16" s="20" t="s">
        <v>397</v>
      </c>
      <c r="H16" s="20">
        <v>4</v>
      </c>
      <c r="I16" s="20" t="s">
        <v>538</v>
      </c>
      <c r="J16" s="18">
        <v>10</v>
      </c>
      <c r="K16" s="18">
        <v>10</v>
      </c>
      <c r="L16" s="18">
        <v>8.5</v>
      </c>
      <c r="M16" s="18" t="s">
        <v>13</v>
      </c>
      <c r="N16" s="16" t="str">
        <f t="shared" si="0"/>
        <v/>
      </c>
    </row>
    <row r="17" spans="2:14" ht="24.95" customHeight="1">
      <c r="B17" s="15">
        <v>8</v>
      </c>
      <c r="C17" s="22" t="s">
        <v>548</v>
      </c>
      <c r="D17" s="38" t="s">
        <v>549</v>
      </c>
      <c r="E17" s="39" t="s">
        <v>550</v>
      </c>
      <c r="F17" s="20" t="s">
        <v>432</v>
      </c>
      <c r="G17" s="20" t="s">
        <v>397</v>
      </c>
      <c r="H17" s="20">
        <v>4</v>
      </c>
      <c r="I17" s="20" t="s">
        <v>538</v>
      </c>
      <c r="J17" s="18">
        <v>10</v>
      </c>
      <c r="K17" s="18">
        <v>10</v>
      </c>
      <c r="L17" s="18">
        <v>8.5</v>
      </c>
      <c r="M17" s="18" t="s">
        <v>13</v>
      </c>
      <c r="N17" s="16" t="str">
        <f t="shared" si="0"/>
        <v/>
      </c>
    </row>
    <row r="18" spans="2:14" ht="24.95" customHeight="1">
      <c r="B18" s="15">
        <v>9</v>
      </c>
      <c r="C18" s="22" t="s">
        <v>551</v>
      </c>
      <c r="D18" s="38" t="s">
        <v>552</v>
      </c>
      <c r="E18" s="39" t="s">
        <v>31</v>
      </c>
      <c r="F18" s="20" t="s">
        <v>456</v>
      </c>
      <c r="G18" s="20" t="s">
        <v>397</v>
      </c>
      <c r="H18" s="20">
        <v>4</v>
      </c>
      <c r="I18" s="20" t="s">
        <v>538</v>
      </c>
      <c r="J18" s="18">
        <v>7.5</v>
      </c>
      <c r="K18" s="18">
        <v>7</v>
      </c>
      <c r="L18" s="18">
        <v>7.5</v>
      </c>
      <c r="M18" s="18" t="s">
        <v>13</v>
      </c>
      <c r="N18" s="16"/>
    </row>
    <row r="19" spans="2:14" ht="24.95" customHeight="1">
      <c r="B19" s="15">
        <v>10</v>
      </c>
      <c r="C19" s="22" t="s">
        <v>553</v>
      </c>
      <c r="D19" s="38" t="s">
        <v>208</v>
      </c>
      <c r="E19" s="39" t="s">
        <v>178</v>
      </c>
      <c r="F19" s="20" t="s">
        <v>38</v>
      </c>
      <c r="G19" s="20" t="s">
        <v>397</v>
      </c>
      <c r="H19" s="20">
        <v>4</v>
      </c>
      <c r="I19" s="20" t="s">
        <v>538</v>
      </c>
      <c r="J19" s="18">
        <v>10</v>
      </c>
      <c r="K19" s="18">
        <v>10</v>
      </c>
      <c r="L19" s="18">
        <v>9.5</v>
      </c>
      <c r="M19" s="18" t="s">
        <v>13</v>
      </c>
      <c r="N19" s="16" t="str">
        <f t="shared" si="0"/>
        <v/>
      </c>
    </row>
    <row r="20" spans="2:14" ht="24.95" customHeight="1">
      <c r="B20" s="15">
        <v>11</v>
      </c>
      <c r="C20" s="22" t="s">
        <v>554</v>
      </c>
      <c r="D20" s="38" t="s">
        <v>209</v>
      </c>
      <c r="E20" s="39" t="s">
        <v>555</v>
      </c>
      <c r="F20" s="20" t="s">
        <v>410</v>
      </c>
      <c r="G20" s="20" t="s">
        <v>397</v>
      </c>
      <c r="H20" s="20">
        <v>4</v>
      </c>
      <c r="I20" s="20" t="s">
        <v>538</v>
      </c>
      <c r="J20" s="18">
        <v>9.5</v>
      </c>
      <c r="K20" s="18">
        <v>10</v>
      </c>
      <c r="L20" s="18">
        <v>10</v>
      </c>
      <c r="M20" s="18" t="s">
        <v>13</v>
      </c>
      <c r="N20" s="16"/>
    </row>
    <row r="21" spans="2:14" ht="24.95" customHeight="1">
      <c r="B21" s="15">
        <v>12</v>
      </c>
      <c r="C21" s="22" t="s">
        <v>556</v>
      </c>
      <c r="D21" s="38" t="s">
        <v>557</v>
      </c>
      <c r="E21" s="39" t="s">
        <v>180</v>
      </c>
      <c r="F21" s="20" t="s">
        <v>432</v>
      </c>
      <c r="G21" s="20" t="s">
        <v>397</v>
      </c>
      <c r="H21" s="20">
        <v>4</v>
      </c>
      <c r="I21" s="20" t="s">
        <v>538</v>
      </c>
      <c r="J21" s="18">
        <v>10</v>
      </c>
      <c r="K21" s="18">
        <v>10</v>
      </c>
      <c r="L21" s="18">
        <v>10</v>
      </c>
      <c r="M21" s="18" t="s">
        <v>13</v>
      </c>
      <c r="N21" s="16"/>
    </row>
    <row r="22" spans="2:14" ht="24.95" customHeight="1">
      <c r="B22" s="15">
        <v>13</v>
      </c>
      <c r="C22" s="22" t="s">
        <v>558</v>
      </c>
      <c r="D22" s="38" t="s">
        <v>559</v>
      </c>
      <c r="E22" s="39" t="s">
        <v>36</v>
      </c>
      <c r="F22" s="20" t="s">
        <v>410</v>
      </c>
      <c r="G22" s="20" t="s">
        <v>397</v>
      </c>
      <c r="H22" s="20">
        <v>4</v>
      </c>
      <c r="I22" s="20" t="s">
        <v>538</v>
      </c>
      <c r="J22" s="18">
        <v>10</v>
      </c>
      <c r="K22" s="18">
        <v>10</v>
      </c>
      <c r="L22" s="18">
        <v>10</v>
      </c>
      <c r="M22" s="18" t="s">
        <v>13</v>
      </c>
      <c r="N22" s="16"/>
    </row>
    <row r="23" spans="2:14" ht="24.95" customHeight="1">
      <c r="B23" s="15">
        <v>14</v>
      </c>
      <c r="C23" s="22" t="s">
        <v>560</v>
      </c>
      <c r="D23" s="38" t="s">
        <v>561</v>
      </c>
      <c r="E23" s="39" t="s">
        <v>135</v>
      </c>
      <c r="F23" s="20" t="s">
        <v>405</v>
      </c>
      <c r="G23" s="20" t="s">
        <v>397</v>
      </c>
      <c r="H23" s="20">
        <v>4</v>
      </c>
      <c r="I23" s="20" t="s">
        <v>538</v>
      </c>
      <c r="J23" s="18">
        <v>9.5</v>
      </c>
      <c r="K23" s="18">
        <v>9</v>
      </c>
      <c r="L23" s="18">
        <v>7.5</v>
      </c>
      <c r="M23" s="18" t="s">
        <v>13</v>
      </c>
      <c r="N23" s="16"/>
    </row>
    <row r="24" spans="2:14" ht="24.95" customHeight="1">
      <c r="B24" s="15">
        <v>15</v>
      </c>
      <c r="C24" s="22" t="s">
        <v>562</v>
      </c>
      <c r="D24" s="38" t="s">
        <v>563</v>
      </c>
      <c r="E24" s="39" t="s">
        <v>135</v>
      </c>
      <c r="F24" s="20" t="s">
        <v>410</v>
      </c>
      <c r="G24" s="20" t="s">
        <v>397</v>
      </c>
      <c r="H24" s="20">
        <v>4</v>
      </c>
      <c r="I24" s="20" t="s">
        <v>538</v>
      </c>
      <c r="J24" s="18">
        <v>10</v>
      </c>
      <c r="K24" s="18">
        <v>10</v>
      </c>
      <c r="L24" s="18">
        <v>9</v>
      </c>
      <c r="M24" s="18" t="s">
        <v>13</v>
      </c>
      <c r="N24" s="16" t="str">
        <f t="shared" si="0"/>
        <v/>
      </c>
    </row>
    <row r="25" spans="2:14" ht="24.95" customHeight="1">
      <c r="B25" s="15">
        <v>16</v>
      </c>
      <c r="C25" s="22" t="s">
        <v>564</v>
      </c>
      <c r="D25" s="38" t="s">
        <v>183</v>
      </c>
      <c r="E25" s="39" t="s">
        <v>136</v>
      </c>
      <c r="F25" s="20" t="s">
        <v>456</v>
      </c>
      <c r="G25" s="20" t="s">
        <v>397</v>
      </c>
      <c r="H25" s="20">
        <v>4</v>
      </c>
      <c r="I25" s="20" t="s">
        <v>538</v>
      </c>
      <c r="J25" s="18">
        <v>10</v>
      </c>
      <c r="K25" s="18">
        <v>10</v>
      </c>
      <c r="L25" s="18">
        <v>6.5</v>
      </c>
      <c r="M25" s="18" t="s">
        <v>13</v>
      </c>
      <c r="N25" s="16" t="str">
        <f t="shared" si="0"/>
        <v/>
      </c>
    </row>
    <row r="26" spans="2:14" ht="24.95" customHeight="1">
      <c r="B26" s="15">
        <v>17</v>
      </c>
      <c r="C26" s="22" t="s">
        <v>565</v>
      </c>
      <c r="D26" s="38" t="s">
        <v>241</v>
      </c>
      <c r="E26" s="39" t="s">
        <v>39</v>
      </c>
      <c r="F26" s="20" t="s">
        <v>523</v>
      </c>
      <c r="G26" s="20" t="s">
        <v>397</v>
      </c>
      <c r="H26" s="20">
        <v>4</v>
      </c>
      <c r="I26" s="20" t="s">
        <v>538</v>
      </c>
      <c r="J26" s="18">
        <v>10</v>
      </c>
      <c r="K26" s="18">
        <v>9</v>
      </c>
      <c r="L26" s="18">
        <v>7.5</v>
      </c>
      <c r="M26" s="18" t="s">
        <v>13</v>
      </c>
      <c r="N26" s="16"/>
    </row>
    <row r="27" spans="2:14" ht="24.95" customHeight="1">
      <c r="B27" s="15">
        <v>18</v>
      </c>
      <c r="C27" s="22" t="s">
        <v>566</v>
      </c>
      <c r="D27" s="38" t="s">
        <v>119</v>
      </c>
      <c r="E27" s="39" t="s">
        <v>297</v>
      </c>
      <c r="F27" s="20" t="s">
        <v>567</v>
      </c>
      <c r="G27" s="20" t="s">
        <v>397</v>
      </c>
      <c r="H27" s="20">
        <v>4</v>
      </c>
      <c r="I27" s="20" t="s">
        <v>538</v>
      </c>
      <c r="J27" s="18">
        <v>9.5</v>
      </c>
      <c r="K27" s="18">
        <v>9</v>
      </c>
      <c r="L27" s="18">
        <v>9</v>
      </c>
      <c r="M27" s="18" t="s">
        <v>13</v>
      </c>
      <c r="N27" s="16"/>
    </row>
    <row r="28" spans="2:14" ht="24.95" customHeight="1">
      <c r="B28" s="15">
        <v>19</v>
      </c>
      <c r="C28" s="22" t="s">
        <v>568</v>
      </c>
      <c r="D28" s="38" t="s">
        <v>57</v>
      </c>
      <c r="E28" s="39" t="s">
        <v>331</v>
      </c>
      <c r="F28" s="20" t="s">
        <v>569</v>
      </c>
      <c r="G28" s="20" t="s">
        <v>397</v>
      </c>
      <c r="H28" s="20">
        <v>4</v>
      </c>
      <c r="I28" s="20" t="s">
        <v>538</v>
      </c>
      <c r="J28" s="18">
        <v>10</v>
      </c>
      <c r="K28" s="18">
        <v>10</v>
      </c>
      <c r="L28" s="18">
        <v>9.5</v>
      </c>
      <c r="M28" s="18" t="s">
        <v>13</v>
      </c>
      <c r="N28" s="16" t="s">
        <v>2856</v>
      </c>
    </row>
    <row r="29" spans="2:14" ht="24.95" customHeight="1">
      <c r="B29" s="15">
        <v>20</v>
      </c>
      <c r="C29" s="22" t="s">
        <v>570</v>
      </c>
      <c r="D29" s="38" t="s">
        <v>571</v>
      </c>
      <c r="E29" s="39" t="s">
        <v>44</v>
      </c>
      <c r="F29" s="20" t="s">
        <v>38</v>
      </c>
      <c r="G29" s="20" t="s">
        <v>397</v>
      </c>
      <c r="H29" s="20">
        <v>4</v>
      </c>
      <c r="I29" s="20" t="s">
        <v>538</v>
      </c>
      <c r="J29" s="18">
        <v>9.5</v>
      </c>
      <c r="K29" s="18">
        <v>8</v>
      </c>
      <c r="L29" s="18">
        <v>7.5</v>
      </c>
      <c r="M29" s="18" t="s">
        <v>13</v>
      </c>
      <c r="N29" s="16"/>
    </row>
    <row r="30" spans="2:14" ht="24.95" customHeight="1">
      <c r="B30" s="15">
        <v>21</v>
      </c>
      <c r="C30" s="22" t="s">
        <v>572</v>
      </c>
      <c r="D30" s="38" t="s">
        <v>573</v>
      </c>
      <c r="E30" s="39" t="s">
        <v>44</v>
      </c>
      <c r="F30" s="20" t="s">
        <v>30</v>
      </c>
      <c r="G30" s="20" t="s">
        <v>397</v>
      </c>
      <c r="H30" s="20">
        <v>4</v>
      </c>
      <c r="I30" s="20" t="s">
        <v>538</v>
      </c>
      <c r="J30" s="18">
        <v>10</v>
      </c>
      <c r="K30" s="18">
        <v>10</v>
      </c>
      <c r="L30" s="18">
        <v>10</v>
      </c>
      <c r="M30" s="18" t="s">
        <v>13</v>
      </c>
      <c r="N30" s="16"/>
    </row>
    <row r="31" spans="2:14" ht="24.95" customHeight="1">
      <c r="B31" s="15">
        <v>22</v>
      </c>
      <c r="C31" s="22" t="s">
        <v>574</v>
      </c>
      <c r="D31" s="38" t="s">
        <v>575</v>
      </c>
      <c r="E31" s="39" t="s">
        <v>212</v>
      </c>
      <c r="F31" s="20" t="s">
        <v>456</v>
      </c>
      <c r="G31" s="20" t="s">
        <v>397</v>
      </c>
      <c r="H31" s="20">
        <v>4</v>
      </c>
      <c r="I31" s="20" t="s">
        <v>538</v>
      </c>
      <c r="J31" s="18">
        <v>9.5</v>
      </c>
      <c r="K31" s="18">
        <v>10</v>
      </c>
      <c r="L31" s="18">
        <v>9.5</v>
      </c>
      <c r="M31" s="18" t="s">
        <v>13</v>
      </c>
      <c r="N31" s="16"/>
    </row>
    <row r="32" spans="2:14" ht="24.95" customHeight="1">
      <c r="B32" s="15">
        <v>23</v>
      </c>
      <c r="C32" s="22" t="s">
        <v>576</v>
      </c>
      <c r="D32" s="38" t="s">
        <v>577</v>
      </c>
      <c r="E32" s="39" t="s">
        <v>268</v>
      </c>
      <c r="F32" s="20" t="s">
        <v>468</v>
      </c>
      <c r="G32" s="20" t="s">
        <v>397</v>
      </c>
      <c r="H32" s="20">
        <v>4</v>
      </c>
      <c r="I32" s="20" t="s">
        <v>538</v>
      </c>
      <c r="J32" s="18">
        <v>9</v>
      </c>
      <c r="K32" s="18">
        <v>10</v>
      </c>
      <c r="L32" s="18">
        <v>8.5</v>
      </c>
      <c r="M32" s="18" t="s">
        <v>13</v>
      </c>
      <c r="N32" s="16"/>
    </row>
    <row r="33" spans="2:14" ht="24.95" customHeight="1">
      <c r="B33" s="15">
        <v>24</v>
      </c>
      <c r="C33" s="22" t="s">
        <v>578</v>
      </c>
      <c r="D33" s="38" t="s">
        <v>579</v>
      </c>
      <c r="E33" s="39" t="s">
        <v>307</v>
      </c>
      <c r="F33" s="20" t="s">
        <v>30</v>
      </c>
      <c r="G33" s="20" t="s">
        <v>397</v>
      </c>
      <c r="H33" s="20">
        <v>4</v>
      </c>
      <c r="I33" s="20" t="s">
        <v>538</v>
      </c>
      <c r="J33" s="18">
        <v>9.5</v>
      </c>
      <c r="K33" s="18">
        <v>10</v>
      </c>
      <c r="L33" s="18">
        <v>9.5</v>
      </c>
      <c r="M33" s="18" t="s">
        <v>13</v>
      </c>
      <c r="N33" s="16"/>
    </row>
    <row r="34" spans="2:14" ht="24.95" customHeight="1">
      <c r="B34" s="15">
        <v>25</v>
      </c>
      <c r="C34" s="22" t="s">
        <v>580</v>
      </c>
      <c r="D34" s="38" t="s">
        <v>157</v>
      </c>
      <c r="E34" s="39" t="s">
        <v>213</v>
      </c>
      <c r="F34" s="20" t="s">
        <v>405</v>
      </c>
      <c r="G34" s="20" t="s">
        <v>397</v>
      </c>
      <c r="H34" s="20">
        <v>4</v>
      </c>
      <c r="I34" s="20" t="s">
        <v>538</v>
      </c>
      <c r="J34" s="18">
        <v>10</v>
      </c>
      <c r="K34" s="18">
        <v>10</v>
      </c>
      <c r="L34" s="18">
        <v>8</v>
      </c>
      <c r="M34" s="18" t="s">
        <v>13</v>
      </c>
      <c r="N34" s="16" t="str">
        <f t="shared" si="0"/>
        <v/>
      </c>
    </row>
    <row r="35" spans="2:14" ht="24.95" customHeight="1">
      <c r="B35" s="15">
        <v>26</v>
      </c>
      <c r="C35" s="22" t="s">
        <v>581</v>
      </c>
      <c r="D35" s="38" t="s">
        <v>582</v>
      </c>
      <c r="E35" s="39" t="s">
        <v>213</v>
      </c>
      <c r="F35" s="20" t="s">
        <v>432</v>
      </c>
      <c r="G35" s="20" t="s">
        <v>397</v>
      </c>
      <c r="H35" s="20">
        <v>4</v>
      </c>
      <c r="I35" s="20" t="s">
        <v>538</v>
      </c>
      <c r="J35" s="18">
        <v>10</v>
      </c>
      <c r="K35" s="18">
        <v>10</v>
      </c>
      <c r="L35" s="18">
        <v>9.5</v>
      </c>
      <c r="M35" s="18" t="s">
        <v>13</v>
      </c>
      <c r="N35" s="16" t="str">
        <f t="shared" si="0"/>
        <v/>
      </c>
    </row>
    <row r="36" spans="2:14" ht="24.95" customHeight="1">
      <c r="B36" s="15">
        <v>27</v>
      </c>
      <c r="C36" s="22" t="s">
        <v>583</v>
      </c>
      <c r="D36" s="38" t="s">
        <v>584</v>
      </c>
      <c r="E36" s="39" t="s">
        <v>235</v>
      </c>
      <c r="F36" s="20" t="s">
        <v>585</v>
      </c>
      <c r="G36" s="20" t="s">
        <v>397</v>
      </c>
      <c r="H36" s="20">
        <v>4</v>
      </c>
      <c r="I36" s="20" t="s">
        <v>538</v>
      </c>
      <c r="J36" s="18">
        <v>10</v>
      </c>
      <c r="K36" s="18">
        <v>10</v>
      </c>
      <c r="L36" s="18">
        <v>7.5</v>
      </c>
      <c r="M36" s="18" t="s">
        <v>13</v>
      </c>
      <c r="N36" s="16" t="str">
        <f t="shared" si="0"/>
        <v/>
      </c>
    </row>
    <row r="37" spans="2:14" ht="24.95" customHeight="1">
      <c r="B37" s="15">
        <v>28</v>
      </c>
      <c r="C37" s="22" t="s">
        <v>586</v>
      </c>
      <c r="D37" s="38" t="s">
        <v>587</v>
      </c>
      <c r="E37" s="39" t="s">
        <v>48</v>
      </c>
      <c r="F37" s="20" t="s">
        <v>52</v>
      </c>
      <c r="G37" s="20" t="s">
        <v>397</v>
      </c>
      <c r="H37" s="20">
        <v>4</v>
      </c>
      <c r="I37" s="20" t="s">
        <v>538</v>
      </c>
      <c r="J37" s="18">
        <v>10</v>
      </c>
      <c r="K37" s="18">
        <v>10</v>
      </c>
      <c r="L37" s="18">
        <v>9</v>
      </c>
      <c r="M37" s="18" t="s">
        <v>13</v>
      </c>
      <c r="N37" s="16" t="str">
        <f t="shared" si="0"/>
        <v/>
      </c>
    </row>
    <row r="38" spans="2:14" ht="24.95" customHeight="1">
      <c r="B38" s="15">
        <v>29</v>
      </c>
      <c r="C38" s="22" t="s">
        <v>588</v>
      </c>
      <c r="D38" s="38" t="s">
        <v>571</v>
      </c>
      <c r="E38" s="39" t="s">
        <v>49</v>
      </c>
      <c r="F38" s="20" t="s">
        <v>40</v>
      </c>
      <c r="G38" s="20" t="s">
        <v>397</v>
      </c>
      <c r="H38" s="20">
        <v>4</v>
      </c>
      <c r="I38" s="20" t="s">
        <v>538</v>
      </c>
      <c r="J38" s="18">
        <v>10</v>
      </c>
      <c r="K38" s="18">
        <v>10</v>
      </c>
      <c r="L38" s="18">
        <v>8</v>
      </c>
      <c r="M38" s="18" t="s">
        <v>13</v>
      </c>
      <c r="N38" s="16" t="str">
        <f t="shared" si="0"/>
        <v/>
      </c>
    </row>
    <row r="39" spans="2:14" ht="24.95" customHeight="1">
      <c r="B39" s="15">
        <v>30</v>
      </c>
      <c r="C39" s="22" t="s">
        <v>589</v>
      </c>
      <c r="D39" s="38" t="s">
        <v>189</v>
      </c>
      <c r="E39" s="39" t="s">
        <v>49</v>
      </c>
      <c r="F39" s="20" t="s">
        <v>82</v>
      </c>
      <c r="G39" s="20" t="s">
        <v>397</v>
      </c>
      <c r="H39" s="20">
        <v>4</v>
      </c>
      <c r="I39" s="20" t="s">
        <v>538</v>
      </c>
      <c r="J39" s="18">
        <v>8.5</v>
      </c>
      <c r="K39" s="18">
        <v>10</v>
      </c>
      <c r="L39" s="18">
        <v>9.5</v>
      </c>
      <c r="M39" s="18" t="s">
        <v>13</v>
      </c>
      <c r="N39" s="16"/>
    </row>
    <row r="40" spans="2:14" ht="24.95" customHeight="1">
      <c r="B40" s="15">
        <v>31</v>
      </c>
      <c r="C40" s="21" t="s">
        <v>590</v>
      </c>
      <c r="D40" s="36" t="s">
        <v>76</v>
      </c>
      <c r="E40" s="37" t="s">
        <v>49</v>
      </c>
      <c r="F40" s="19" t="s">
        <v>405</v>
      </c>
      <c r="G40" s="19" t="s">
        <v>397</v>
      </c>
      <c r="H40" s="19">
        <v>4</v>
      </c>
      <c r="I40" s="19" t="s">
        <v>538</v>
      </c>
      <c r="J40" s="17">
        <v>10</v>
      </c>
      <c r="K40" s="17">
        <v>10</v>
      </c>
      <c r="L40" s="17">
        <v>6.5</v>
      </c>
      <c r="M40" s="17" t="s">
        <v>13</v>
      </c>
      <c r="N40" s="14" t="str">
        <f>+IF(OR($J40=0,$K40=0,$L40=0,$M40=0),"Không đủ ĐKDT","")</f>
        <v/>
      </c>
    </row>
    <row r="41" spans="2:14" ht="24.95" customHeight="1">
      <c r="B41" s="15">
        <v>32</v>
      </c>
      <c r="C41" s="22" t="s">
        <v>591</v>
      </c>
      <c r="D41" s="38" t="s">
        <v>146</v>
      </c>
      <c r="E41" s="39" t="s">
        <v>49</v>
      </c>
      <c r="F41" s="20" t="s">
        <v>405</v>
      </c>
      <c r="G41" s="20" t="s">
        <v>397</v>
      </c>
      <c r="H41" s="20">
        <v>4</v>
      </c>
      <c r="I41" s="20" t="s">
        <v>538</v>
      </c>
      <c r="J41" s="18">
        <v>10</v>
      </c>
      <c r="K41" s="18">
        <v>9.5</v>
      </c>
      <c r="L41" s="18">
        <v>7</v>
      </c>
      <c r="M41" s="18" t="s">
        <v>13</v>
      </c>
      <c r="N41" s="16"/>
    </row>
    <row r="42" spans="2:14" ht="24.95" customHeight="1">
      <c r="B42" s="15">
        <v>33</v>
      </c>
      <c r="C42" s="22" t="s">
        <v>592</v>
      </c>
      <c r="D42" s="38" t="s">
        <v>593</v>
      </c>
      <c r="E42" s="39" t="s">
        <v>140</v>
      </c>
      <c r="F42" s="20" t="s">
        <v>456</v>
      </c>
      <c r="G42" s="20" t="s">
        <v>397</v>
      </c>
      <c r="H42" s="20">
        <v>4</v>
      </c>
      <c r="I42" s="20" t="s">
        <v>538</v>
      </c>
      <c r="J42" s="18">
        <v>8.5</v>
      </c>
      <c r="K42" s="18">
        <v>10</v>
      </c>
      <c r="L42" s="18">
        <v>8.5</v>
      </c>
      <c r="M42" s="18" t="s">
        <v>13</v>
      </c>
      <c r="N42" s="16"/>
    </row>
    <row r="43" spans="2:14" ht="24.95" customHeight="1">
      <c r="B43" s="15">
        <v>34</v>
      </c>
      <c r="C43" s="22" t="s">
        <v>594</v>
      </c>
      <c r="D43" s="38" t="s">
        <v>595</v>
      </c>
      <c r="E43" s="39" t="s">
        <v>58</v>
      </c>
      <c r="F43" s="20" t="s">
        <v>444</v>
      </c>
      <c r="G43" s="20" t="s">
        <v>397</v>
      </c>
      <c r="H43" s="20">
        <v>4</v>
      </c>
      <c r="I43" s="20" t="s">
        <v>538</v>
      </c>
      <c r="J43" s="18">
        <v>10</v>
      </c>
      <c r="K43" s="18">
        <v>10</v>
      </c>
      <c r="L43" s="18">
        <v>7.5</v>
      </c>
      <c r="M43" s="18" t="s">
        <v>13</v>
      </c>
      <c r="N43" s="16" t="str">
        <f t="shared" ref="N43:N68" si="1">+IF(OR($J43=0,$K43=0,$L43=0,$M43=0),"Không đủ ĐKDT","")</f>
        <v/>
      </c>
    </row>
    <row r="44" spans="2:14" ht="24.95" customHeight="1">
      <c r="B44" s="15">
        <v>35</v>
      </c>
      <c r="C44" s="22" t="s">
        <v>596</v>
      </c>
      <c r="D44" s="38" t="s">
        <v>139</v>
      </c>
      <c r="E44" s="39" t="s">
        <v>58</v>
      </c>
      <c r="F44" s="20" t="s">
        <v>405</v>
      </c>
      <c r="G44" s="20" t="s">
        <v>397</v>
      </c>
      <c r="H44" s="20">
        <v>4</v>
      </c>
      <c r="I44" s="20" t="s">
        <v>538</v>
      </c>
      <c r="J44" s="18">
        <v>8.5</v>
      </c>
      <c r="K44" s="18">
        <v>10</v>
      </c>
      <c r="L44" s="18">
        <v>5</v>
      </c>
      <c r="M44" s="18" t="s">
        <v>13</v>
      </c>
      <c r="N44" s="16"/>
    </row>
    <row r="45" spans="2:14" ht="24.95" customHeight="1">
      <c r="B45" s="15">
        <v>36</v>
      </c>
      <c r="C45" s="22" t="s">
        <v>597</v>
      </c>
      <c r="D45" s="38" t="s">
        <v>139</v>
      </c>
      <c r="E45" s="39" t="s">
        <v>58</v>
      </c>
      <c r="F45" s="20" t="s">
        <v>40</v>
      </c>
      <c r="G45" s="20" t="s">
        <v>397</v>
      </c>
      <c r="H45" s="20">
        <v>4</v>
      </c>
      <c r="I45" s="20" t="s">
        <v>538</v>
      </c>
      <c r="J45" s="18">
        <v>9.5</v>
      </c>
      <c r="K45" s="18">
        <v>10</v>
      </c>
      <c r="L45" s="18">
        <v>8.5</v>
      </c>
      <c r="M45" s="18" t="s">
        <v>13</v>
      </c>
      <c r="N45" s="16"/>
    </row>
    <row r="46" spans="2:14" ht="24.95" customHeight="1">
      <c r="B46" s="15">
        <v>37</v>
      </c>
      <c r="C46" s="22" t="s">
        <v>598</v>
      </c>
      <c r="D46" s="38" t="s">
        <v>139</v>
      </c>
      <c r="E46" s="39" t="s">
        <v>58</v>
      </c>
      <c r="F46" s="20" t="s">
        <v>396</v>
      </c>
      <c r="G46" s="20" t="s">
        <v>397</v>
      </c>
      <c r="H46" s="20">
        <v>4</v>
      </c>
      <c r="I46" s="20" t="s">
        <v>538</v>
      </c>
      <c r="J46" s="18">
        <v>10</v>
      </c>
      <c r="K46" s="18">
        <v>10</v>
      </c>
      <c r="L46" s="18">
        <v>6.5</v>
      </c>
      <c r="M46" s="18" t="s">
        <v>13</v>
      </c>
      <c r="N46" s="16" t="str">
        <f t="shared" si="1"/>
        <v/>
      </c>
    </row>
    <row r="47" spans="2:14" ht="24.95" customHeight="1">
      <c r="B47" s="15">
        <v>38</v>
      </c>
      <c r="C47" s="22" t="s">
        <v>599</v>
      </c>
      <c r="D47" s="38" t="s">
        <v>139</v>
      </c>
      <c r="E47" s="39" t="s">
        <v>58</v>
      </c>
      <c r="F47" s="20" t="s">
        <v>456</v>
      </c>
      <c r="G47" s="20" t="s">
        <v>397</v>
      </c>
      <c r="H47" s="20">
        <v>4</v>
      </c>
      <c r="I47" s="20" t="s">
        <v>538</v>
      </c>
      <c r="J47" s="18">
        <v>10</v>
      </c>
      <c r="K47" s="18">
        <v>10</v>
      </c>
      <c r="L47" s="18">
        <v>10</v>
      </c>
      <c r="M47" s="18" t="s">
        <v>13</v>
      </c>
      <c r="N47" s="16" t="s">
        <v>2839</v>
      </c>
    </row>
    <row r="48" spans="2:14" ht="24.95" customHeight="1">
      <c r="B48" s="15">
        <v>39</v>
      </c>
      <c r="C48" s="22" t="s">
        <v>600</v>
      </c>
      <c r="D48" s="38" t="s">
        <v>601</v>
      </c>
      <c r="E48" s="39" t="s">
        <v>58</v>
      </c>
      <c r="F48" s="20" t="s">
        <v>410</v>
      </c>
      <c r="G48" s="20" t="s">
        <v>397</v>
      </c>
      <c r="H48" s="20">
        <v>4</v>
      </c>
      <c r="I48" s="20" t="s">
        <v>538</v>
      </c>
      <c r="J48" s="18">
        <v>10</v>
      </c>
      <c r="K48" s="18">
        <v>9.5</v>
      </c>
      <c r="L48" s="18">
        <v>8.5</v>
      </c>
      <c r="M48" s="18" t="s">
        <v>13</v>
      </c>
      <c r="N48" s="16"/>
    </row>
    <row r="49" spans="2:14" ht="24.95" customHeight="1">
      <c r="B49" s="15">
        <v>40</v>
      </c>
      <c r="C49" s="22" t="s">
        <v>602</v>
      </c>
      <c r="D49" s="38" t="s">
        <v>603</v>
      </c>
      <c r="E49" s="39" t="s">
        <v>58</v>
      </c>
      <c r="F49" s="20" t="s">
        <v>405</v>
      </c>
      <c r="G49" s="20" t="s">
        <v>397</v>
      </c>
      <c r="H49" s="20">
        <v>4</v>
      </c>
      <c r="I49" s="20" t="s">
        <v>538</v>
      </c>
      <c r="J49" s="18">
        <v>10</v>
      </c>
      <c r="K49" s="18">
        <v>10</v>
      </c>
      <c r="L49" s="18">
        <v>9.5</v>
      </c>
      <c r="M49" s="18" t="s">
        <v>13</v>
      </c>
      <c r="N49" s="16" t="str">
        <f t="shared" si="1"/>
        <v/>
      </c>
    </row>
    <row r="50" spans="2:14" ht="24.95" customHeight="1">
      <c r="B50" s="15">
        <v>41</v>
      </c>
      <c r="C50" s="22" t="s">
        <v>604</v>
      </c>
      <c r="D50" s="38" t="s">
        <v>61</v>
      </c>
      <c r="E50" s="39" t="s">
        <v>62</v>
      </c>
      <c r="F50" s="20" t="s">
        <v>432</v>
      </c>
      <c r="G50" s="20" t="s">
        <v>397</v>
      </c>
      <c r="H50" s="20">
        <v>4</v>
      </c>
      <c r="I50" s="20" t="s">
        <v>538</v>
      </c>
      <c r="J50" s="18">
        <v>10</v>
      </c>
      <c r="K50" s="18">
        <v>10</v>
      </c>
      <c r="L50" s="18">
        <v>10</v>
      </c>
      <c r="M50" s="18" t="s">
        <v>13</v>
      </c>
      <c r="N50" s="16"/>
    </row>
    <row r="51" spans="2:14" ht="24.95" customHeight="1">
      <c r="B51" s="15">
        <v>42</v>
      </c>
      <c r="C51" s="22" t="s">
        <v>605</v>
      </c>
      <c r="D51" s="38" t="s">
        <v>606</v>
      </c>
      <c r="E51" s="39" t="s">
        <v>62</v>
      </c>
      <c r="F51" s="20" t="s">
        <v>82</v>
      </c>
      <c r="G51" s="20" t="s">
        <v>397</v>
      </c>
      <c r="H51" s="20">
        <v>4</v>
      </c>
      <c r="I51" s="20" t="s">
        <v>538</v>
      </c>
      <c r="J51" s="18">
        <v>10</v>
      </c>
      <c r="K51" s="18">
        <v>9.5</v>
      </c>
      <c r="L51" s="18">
        <v>9.5</v>
      </c>
      <c r="M51" s="18" t="s">
        <v>13</v>
      </c>
      <c r="N51" s="16" t="str">
        <f t="shared" si="1"/>
        <v/>
      </c>
    </row>
    <row r="52" spans="2:14" ht="24.95" customHeight="1">
      <c r="B52" s="15">
        <v>43</v>
      </c>
      <c r="C52" s="22" t="s">
        <v>607</v>
      </c>
      <c r="D52" s="38" t="s">
        <v>258</v>
      </c>
      <c r="E52" s="39" t="s">
        <v>65</v>
      </c>
      <c r="F52" s="20" t="s">
        <v>396</v>
      </c>
      <c r="G52" s="20" t="s">
        <v>397</v>
      </c>
      <c r="H52" s="20">
        <v>4</v>
      </c>
      <c r="I52" s="20" t="s">
        <v>538</v>
      </c>
      <c r="J52" s="18">
        <v>9.5</v>
      </c>
      <c r="K52" s="18">
        <v>10</v>
      </c>
      <c r="L52" s="18">
        <v>9.5</v>
      </c>
      <c r="M52" s="18" t="s">
        <v>13</v>
      </c>
      <c r="N52" s="16"/>
    </row>
    <row r="53" spans="2:14" ht="24.95" customHeight="1">
      <c r="B53" s="15">
        <v>44</v>
      </c>
      <c r="C53" s="22" t="s">
        <v>608</v>
      </c>
      <c r="D53" s="38" t="s">
        <v>609</v>
      </c>
      <c r="E53" s="39" t="s">
        <v>610</v>
      </c>
      <c r="F53" s="20" t="s">
        <v>52</v>
      </c>
      <c r="G53" s="20" t="s">
        <v>397</v>
      </c>
      <c r="H53" s="20">
        <v>4</v>
      </c>
      <c r="I53" s="20" t="s">
        <v>538</v>
      </c>
      <c r="J53" s="18">
        <v>9</v>
      </c>
      <c r="K53" s="18">
        <v>10</v>
      </c>
      <c r="L53" s="18">
        <v>9.5</v>
      </c>
      <c r="M53" s="18" t="s">
        <v>13</v>
      </c>
      <c r="N53" s="16"/>
    </row>
    <row r="54" spans="2:14" ht="24.95" customHeight="1">
      <c r="B54" s="15">
        <v>45</v>
      </c>
      <c r="C54" s="22" t="s">
        <v>611</v>
      </c>
      <c r="D54" s="38" t="s">
        <v>612</v>
      </c>
      <c r="E54" s="39" t="s">
        <v>610</v>
      </c>
      <c r="F54" s="20" t="s">
        <v>420</v>
      </c>
      <c r="G54" s="20" t="s">
        <v>397</v>
      </c>
      <c r="H54" s="20">
        <v>4</v>
      </c>
      <c r="I54" s="20" t="s">
        <v>538</v>
      </c>
      <c r="J54" s="18">
        <v>9.5</v>
      </c>
      <c r="K54" s="18">
        <v>10</v>
      </c>
      <c r="L54" s="18">
        <v>7.5</v>
      </c>
      <c r="M54" s="18" t="s">
        <v>13</v>
      </c>
      <c r="N54" s="16"/>
    </row>
    <row r="55" spans="2:14" ht="24.95" customHeight="1">
      <c r="B55" s="15">
        <v>46</v>
      </c>
      <c r="C55" s="22" t="s">
        <v>613</v>
      </c>
      <c r="D55" s="38" t="s">
        <v>614</v>
      </c>
      <c r="E55" s="39" t="s">
        <v>67</v>
      </c>
      <c r="F55" s="20" t="s">
        <v>405</v>
      </c>
      <c r="G55" s="20" t="s">
        <v>397</v>
      </c>
      <c r="H55" s="20">
        <v>4</v>
      </c>
      <c r="I55" s="20" t="s">
        <v>538</v>
      </c>
      <c r="J55" s="18">
        <v>9</v>
      </c>
      <c r="K55" s="18">
        <v>10</v>
      </c>
      <c r="L55" s="18">
        <v>7.5</v>
      </c>
      <c r="M55" s="18" t="s">
        <v>13</v>
      </c>
      <c r="N55" s="16"/>
    </row>
    <row r="56" spans="2:14" ht="24.95" customHeight="1">
      <c r="B56" s="15">
        <v>47</v>
      </c>
      <c r="C56" s="22" t="s">
        <v>615</v>
      </c>
      <c r="D56" s="38" t="s">
        <v>76</v>
      </c>
      <c r="E56" s="39" t="s">
        <v>142</v>
      </c>
      <c r="F56" s="20" t="s">
        <v>82</v>
      </c>
      <c r="G56" s="20" t="s">
        <v>397</v>
      </c>
      <c r="H56" s="20">
        <v>4</v>
      </c>
      <c r="I56" s="20" t="s">
        <v>538</v>
      </c>
      <c r="J56" s="18">
        <v>9.5</v>
      </c>
      <c r="K56" s="18">
        <v>10</v>
      </c>
      <c r="L56" s="18">
        <v>7.5</v>
      </c>
      <c r="M56" s="18" t="s">
        <v>13</v>
      </c>
      <c r="N56" s="16"/>
    </row>
    <row r="57" spans="2:14" ht="24.95" customHeight="1">
      <c r="B57" s="15">
        <v>48</v>
      </c>
      <c r="C57" s="22" t="s">
        <v>616</v>
      </c>
      <c r="D57" s="38" t="s">
        <v>617</v>
      </c>
      <c r="E57" s="39" t="s">
        <v>143</v>
      </c>
      <c r="F57" s="20" t="s">
        <v>585</v>
      </c>
      <c r="G57" s="20" t="s">
        <v>397</v>
      </c>
      <c r="H57" s="20">
        <v>4</v>
      </c>
      <c r="I57" s="20" t="s">
        <v>538</v>
      </c>
      <c r="J57" s="18">
        <v>10</v>
      </c>
      <c r="K57" s="18">
        <v>9.5</v>
      </c>
      <c r="L57" s="18">
        <v>7.5</v>
      </c>
      <c r="M57" s="18" t="s">
        <v>13</v>
      </c>
      <c r="N57" s="16" t="str">
        <f t="shared" si="1"/>
        <v/>
      </c>
    </row>
    <row r="58" spans="2:14" ht="24.95" customHeight="1">
      <c r="B58" s="15">
        <v>49</v>
      </c>
      <c r="C58" s="22" t="s">
        <v>618</v>
      </c>
      <c r="D58" s="38" t="s">
        <v>309</v>
      </c>
      <c r="E58" s="39" t="s">
        <v>71</v>
      </c>
      <c r="F58" s="20" t="s">
        <v>468</v>
      </c>
      <c r="G58" s="20" t="s">
        <v>397</v>
      </c>
      <c r="H58" s="20">
        <v>4</v>
      </c>
      <c r="I58" s="20" t="s">
        <v>538</v>
      </c>
      <c r="J58" s="18">
        <v>10</v>
      </c>
      <c r="K58" s="18">
        <v>10</v>
      </c>
      <c r="L58" s="18">
        <v>9.5</v>
      </c>
      <c r="M58" s="18" t="s">
        <v>13</v>
      </c>
      <c r="N58" s="16" t="str">
        <f t="shared" si="1"/>
        <v/>
      </c>
    </row>
    <row r="59" spans="2:14" ht="24.95" customHeight="1">
      <c r="B59" s="15">
        <v>50</v>
      </c>
      <c r="C59" s="22" t="s">
        <v>619</v>
      </c>
      <c r="D59" s="38" t="s">
        <v>620</v>
      </c>
      <c r="E59" s="39" t="s">
        <v>72</v>
      </c>
      <c r="F59" s="20" t="s">
        <v>621</v>
      </c>
      <c r="G59" s="20" t="s">
        <v>397</v>
      </c>
      <c r="H59" s="20">
        <v>4</v>
      </c>
      <c r="I59" s="20" t="s">
        <v>538</v>
      </c>
      <c r="J59" s="18">
        <v>10</v>
      </c>
      <c r="K59" s="18">
        <v>10</v>
      </c>
      <c r="L59" s="18">
        <v>8</v>
      </c>
      <c r="M59" s="18" t="s">
        <v>13</v>
      </c>
      <c r="N59" s="16" t="str">
        <f t="shared" si="1"/>
        <v/>
      </c>
    </row>
    <row r="60" spans="2:14" ht="24.95" customHeight="1">
      <c r="B60" s="15">
        <v>51</v>
      </c>
      <c r="C60" s="22" t="s">
        <v>622</v>
      </c>
      <c r="D60" s="38" t="s">
        <v>283</v>
      </c>
      <c r="E60" s="39" t="s">
        <v>72</v>
      </c>
      <c r="F60" s="20" t="s">
        <v>444</v>
      </c>
      <c r="G60" s="20" t="s">
        <v>397</v>
      </c>
      <c r="H60" s="20">
        <v>4</v>
      </c>
      <c r="I60" s="20" t="s">
        <v>538</v>
      </c>
      <c r="J60" s="18">
        <v>10</v>
      </c>
      <c r="K60" s="18">
        <v>10</v>
      </c>
      <c r="L60" s="18">
        <v>9</v>
      </c>
      <c r="M60" s="18" t="s">
        <v>13</v>
      </c>
      <c r="N60" s="16" t="str">
        <f t="shared" si="1"/>
        <v/>
      </c>
    </row>
    <row r="61" spans="2:14" ht="24.95" customHeight="1">
      <c r="B61" s="15">
        <v>52</v>
      </c>
      <c r="C61" s="22" t="s">
        <v>623</v>
      </c>
      <c r="D61" s="38" t="s">
        <v>241</v>
      </c>
      <c r="E61" s="39" t="s">
        <v>72</v>
      </c>
      <c r="F61" s="20" t="s">
        <v>38</v>
      </c>
      <c r="G61" s="20" t="s">
        <v>397</v>
      </c>
      <c r="H61" s="20">
        <v>4</v>
      </c>
      <c r="I61" s="20" t="s">
        <v>538</v>
      </c>
      <c r="J61" s="18">
        <v>10</v>
      </c>
      <c r="K61" s="18">
        <v>10</v>
      </c>
      <c r="L61" s="18">
        <v>10</v>
      </c>
      <c r="M61" s="18" t="s">
        <v>13</v>
      </c>
      <c r="N61" s="16" t="str">
        <f t="shared" si="1"/>
        <v/>
      </c>
    </row>
    <row r="62" spans="2:14" ht="24.95" customHeight="1">
      <c r="B62" s="15">
        <v>53</v>
      </c>
      <c r="C62" s="22" t="s">
        <v>624</v>
      </c>
      <c r="D62" s="38" t="s">
        <v>625</v>
      </c>
      <c r="E62" s="39" t="s">
        <v>72</v>
      </c>
      <c r="F62" s="20" t="s">
        <v>30</v>
      </c>
      <c r="G62" s="20" t="s">
        <v>397</v>
      </c>
      <c r="H62" s="20">
        <v>4</v>
      </c>
      <c r="I62" s="20" t="s">
        <v>538</v>
      </c>
      <c r="J62" s="18">
        <v>10</v>
      </c>
      <c r="K62" s="18">
        <v>10</v>
      </c>
      <c r="L62" s="18">
        <v>9.5</v>
      </c>
      <c r="M62" s="18" t="s">
        <v>13</v>
      </c>
      <c r="N62" s="16" t="str">
        <f t="shared" si="1"/>
        <v/>
      </c>
    </row>
    <row r="63" spans="2:14" ht="24.95" customHeight="1">
      <c r="B63" s="15">
        <v>54</v>
      </c>
      <c r="C63" s="22" t="s">
        <v>626</v>
      </c>
      <c r="D63" s="38" t="s">
        <v>137</v>
      </c>
      <c r="E63" s="39" t="s">
        <v>72</v>
      </c>
      <c r="F63" s="20" t="s">
        <v>396</v>
      </c>
      <c r="G63" s="20" t="s">
        <v>397</v>
      </c>
      <c r="H63" s="20">
        <v>4</v>
      </c>
      <c r="I63" s="20" t="s">
        <v>538</v>
      </c>
      <c r="J63" s="18">
        <v>9.5</v>
      </c>
      <c r="K63" s="18">
        <v>10</v>
      </c>
      <c r="L63" s="18">
        <v>9</v>
      </c>
      <c r="M63" s="18" t="s">
        <v>13</v>
      </c>
      <c r="N63" s="16"/>
    </row>
    <row r="64" spans="2:14" ht="24.95" customHeight="1">
      <c r="B64" s="15">
        <v>55</v>
      </c>
      <c r="C64" s="22" t="s">
        <v>627</v>
      </c>
      <c r="D64" s="38" t="s">
        <v>167</v>
      </c>
      <c r="E64" s="39" t="s">
        <v>72</v>
      </c>
      <c r="F64" s="20" t="s">
        <v>405</v>
      </c>
      <c r="G64" s="20" t="s">
        <v>397</v>
      </c>
      <c r="H64" s="20">
        <v>4</v>
      </c>
      <c r="I64" s="20" t="s">
        <v>538</v>
      </c>
      <c r="J64" s="18">
        <v>10</v>
      </c>
      <c r="K64" s="18">
        <v>10</v>
      </c>
      <c r="L64" s="18">
        <v>9.5</v>
      </c>
      <c r="M64" s="18" t="s">
        <v>13</v>
      </c>
      <c r="N64" s="16" t="s">
        <v>2850</v>
      </c>
    </row>
    <row r="65" spans="2:15" ht="24.95" customHeight="1">
      <c r="B65" s="15">
        <v>56</v>
      </c>
      <c r="C65" s="22" t="s">
        <v>628</v>
      </c>
      <c r="D65" s="38" t="s">
        <v>629</v>
      </c>
      <c r="E65" s="39" t="s">
        <v>257</v>
      </c>
      <c r="F65" s="20" t="s">
        <v>52</v>
      </c>
      <c r="G65" s="20" t="s">
        <v>397</v>
      </c>
      <c r="H65" s="20">
        <v>4</v>
      </c>
      <c r="I65" s="20" t="s">
        <v>538</v>
      </c>
      <c r="J65" s="18">
        <v>10</v>
      </c>
      <c r="K65" s="18">
        <v>10</v>
      </c>
      <c r="L65" s="18">
        <v>9</v>
      </c>
      <c r="M65" s="18" t="s">
        <v>13</v>
      </c>
      <c r="N65" s="16" t="str">
        <f t="shared" si="1"/>
        <v/>
      </c>
    </row>
    <row r="66" spans="2:15" ht="24.95" customHeight="1">
      <c r="B66" s="15">
        <v>57</v>
      </c>
      <c r="C66" s="22" t="s">
        <v>630</v>
      </c>
      <c r="D66" s="38" t="s">
        <v>359</v>
      </c>
      <c r="E66" s="39" t="s">
        <v>351</v>
      </c>
      <c r="F66" s="20" t="s">
        <v>412</v>
      </c>
      <c r="G66" s="20" t="s">
        <v>397</v>
      </c>
      <c r="H66" s="20">
        <v>4</v>
      </c>
      <c r="I66" s="20" t="s">
        <v>538</v>
      </c>
      <c r="J66" s="18">
        <v>10</v>
      </c>
      <c r="K66" s="18">
        <v>10</v>
      </c>
      <c r="L66" s="18">
        <v>8.5</v>
      </c>
      <c r="M66" s="18" t="s">
        <v>13</v>
      </c>
      <c r="N66" s="16" t="str">
        <f t="shared" si="1"/>
        <v/>
      </c>
    </row>
    <row r="67" spans="2:15" s="49" customFormat="1" ht="24.95" customHeight="1">
      <c r="B67" s="42">
        <v>58</v>
      </c>
      <c r="C67" s="43" t="s">
        <v>631</v>
      </c>
      <c r="D67" s="44" t="s">
        <v>201</v>
      </c>
      <c r="E67" s="45" t="s">
        <v>351</v>
      </c>
      <c r="F67" s="46" t="s">
        <v>405</v>
      </c>
      <c r="G67" s="46" t="s">
        <v>397</v>
      </c>
      <c r="H67" s="46">
        <v>4</v>
      </c>
      <c r="I67" s="46" t="s">
        <v>538</v>
      </c>
      <c r="J67" s="47">
        <v>10</v>
      </c>
      <c r="K67" s="47">
        <v>10</v>
      </c>
      <c r="L67" s="47">
        <v>10</v>
      </c>
      <c r="M67" s="47" t="s">
        <v>13</v>
      </c>
      <c r="N67" s="48" t="str">
        <f t="shared" si="1"/>
        <v/>
      </c>
      <c r="O67" s="53"/>
    </row>
    <row r="68" spans="2:15" ht="24.95" customHeight="1">
      <c r="B68" s="15">
        <v>59</v>
      </c>
      <c r="C68" s="22" t="s">
        <v>632</v>
      </c>
      <c r="D68" s="38" t="s">
        <v>434</v>
      </c>
      <c r="E68" s="39" t="s">
        <v>73</v>
      </c>
      <c r="F68" s="20" t="s">
        <v>410</v>
      </c>
      <c r="G68" s="20" t="s">
        <v>397</v>
      </c>
      <c r="H68" s="20">
        <v>4</v>
      </c>
      <c r="I68" s="20" t="s">
        <v>538</v>
      </c>
      <c r="J68" s="18">
        <v>10</v>
      </c>
      <c r="K68" s="18">
        <v>10</v>
      </c>
      <c r="L68" s="18">
        <v>10</v>
      </c>
      <c r="M68" s="18" t="s">
        <v>13</v>
      </c>
      <c r="N68" s="16" t="str">
        <f t="shared" si="1"/>
        <v/>
      </c>
    </row>
    <row r="69" spans="2:15" ht="24.95" customHeight="1">
      <c r="B69" s="15">
        <v>60</v>
      </c>
      <c r="C69" s="21" t="s">
        <v>633</v>
      </c>
      <c r="D69" s="36" t="s">
        <v>74</v>
      </c>
      <c r="E69" s="37" t="s">
        <v>73</v>
      </c>
      <c r="F69" s="19" t="s">
        <v>43</v>
      </c>
      <c r="G69" s="19" t="s">
        <v>397</v>
      </c>
      <c r="H69" s="19">
        <v>4</v>
      </c>
      <c r="I69" s="19" t="s">
        <v>538</v>
      </c>
      <c r="J69" s="17">
        <v>8</v>
      </c>
      <c r="K69" s="17">
        <v>8.5</v>
      </c>
      <c r="L69" s="17">
        <v>8</v>
      </c>
      <c r="M69" s="17" t="s">
        <v>13</v>
      </c>
      <c r="N69" s="16"/>
    </row>
    <row r="70" spans="2:15" ht="24.95" customHeight="1">
      <c r="B70" s="15">
        <v>61</v>
      </c>
      <c r="C70" s="22" t="s">
        <v>634</v>
      </c>
      <c r="D70" s="38" t="s">
        <v>635</v>
      </c>
      <c r="E70" s="39" t="s">
        <v>75</v>
      </c>
      <c r="F70" s="20" t="s">
        <v>420</v>
      </c>
      <c r="G70" s="20" t="s">
        <v>397</v>
      </c>
      <c r="H70" s="20">
        <v>4</v>
      </c>
      <c r="I70" s="20" t="s">
        <v>538</v>
      </c>
      <c r="J70" s="18">
        <v>10</v>
      </c>
      <c r="K70" s="18">
        <v>10</v>
      </c>
      <c r="L70" s="18">
        <v>8.5</v>
      </c>
      <c r="M70" s="18" t="s">
        <v>13</v>
      </c>
      <c r="N70" s="16"/>
    </row>
    <row r="71" spans="2:15" ht="24.95" customHeight="1">
      <c r="B71" s="15">
        <v>62</v>
      </c>
      <c r="C71" s="22" t="s">
        <v>636</v>
      </c>
      <c r="D71" s="38" t="s">
        <v>144</v>
      </c>
      <c r="E71" s="39" t="s">
        <v>75</v>
      </c>
      <c r="F71" s="20" t="s">
        <v>30</v>
      </c>
      <c r="G71" s="20" t="s">
        <v>397</v>
      </c>
      <c r="H71" s="20">
        <v>4</v>
      </c>
      <c r="I71" s="20" t="s">
        <v>538</v>
      </c>
      <c r="J71" s="18">
        <v>10</v>
      </c>
      <c r="K71" s="18">
        <v>10</v>
      </c>
      <c r="L71" s="18">
        <v>10</v>
      </c>
      <c r="M71" s="18" t="s">
        <v>13</v>
      </c>
      <c r="N71" s="16" t="s">
        <v>2840</v>
      </c>
    </row>
    <row r="72" spans="2:15" ht="24.95" customHeight="1">
      <c r="B72" s="15">
        <v>63</v>
      </c>
      <c r="C72" s="22" t="s">
        <v>637</v>
      </c>
      <c r="D72" s="38" t="s">
        <v>76</v>
      </c>
      <c r="E72" s="39" t="s">
        <v>77</v>
      </c>
      <c r="F72" s="20" t="s">
        <v>405</v>
      </c>
      <c r="G72" s="20" t="s">
        <v>397</v>
      </c>
      <c r="H72" s="20">
        <v>4</v>
      </c>
      <c r="I72" s="20" t="s">
        <v>538</v>
      </c>
      <c r="J72" s="18">
        <v>9.5</v>
      </c>
      <c r="K72" s="18">
        <v>10</v>
      </c>
      <c r="L72" s="18">
        <v>8</v>
      </c>
      <c r="M72" s="18" t="s">
        <v>13</v>
      </c>
      <c r="N72" s="16"/>
    </row>
    <row r="73" spans="2:15" ht="24.95" customHeight="1">
      <c r="B73" s="15">
        <v>64</v>
      </c>
      <c r="C73" s="22" t="s">
        <v>638</v>
      </c>
      <c r="D73" s="38" t="s">
        <v>573</v>
      </c>
      <c r="E73" s="39" t="s">
        <v>148</v>
      </c>
      <c r="F73" s="20" t="s">
        <v>43</v>
      </c>
      <c r="G73" s="20" t="s">
        <v>397</v>
      </c>
      <c r="H73" s="20">
        <v>4</v>
      </c>
      <c r="I73" s="20" t="s">
        <v>538</v>
      </c>
      <c r="J73" s="18">
        <v>9.5</v>
      </c>
      <c r="K73" s="18">
        <v>10</v>
      </c>
      <c r="L73" s="18">
        <v>9.5</v>
      </c>
      <c r="M73" s="18" t="s">
        <v>13</v>
      </c>
      <c r="N73" s="16"/>
    </row>
    <row r="74" spans="2:15" ht="24.95" customHeight="1">
      <c r="B74" s="15">
        <v>65</v>
      </c>
      <c r="C74" s="22" t="s">
        <v>639</v>
      </c>
      <c r="D74" s="38" t="s">
        <v>83</v>
      </c>
      <c r="E74" s="39" t="s">
        <v>81</v>
      </c>
      <c r="F74" s="20" t="s">
        <v>40</v>
      </c>
      <c r="G74" s="20" t="s">
        <v>397</v>
      </c>
      <c r="H74" s="20">
        <v>4</v>
      </c>
      <c r="I74" s="20" t="s">
        <v>538</v>
      </c>
      <c r="J74" s="18">
        <v>9.5</v>
      </c>
      <c r="K74" s="18">
        <v>10</v>
      </c>
      <c r="L74" s="18">
        <v>9</v>
      </c>
      <c r="M74" s="18" t="s">
        <v>13</v>
      </c>
      <c r="N74" s="16"/>
    </row>
    <row r="75" spans="2:15" ht="24.95" customHeight="1">
      <c r="B75" s="15">
        <v>66</v>
      </c>
      <c r="C75" s="22" t="s">
        <v>640</v>
      </c>
      <c r="D75" s="38" t="s">
        <v>32</v>
      </c>
      <c r="E75" s="39" t="s">
        <v>260</v>
      </c>
      <c r="F75" s="20" t="s">
        <v>468</v>
      </c>
      <c r="G75" s="20" t="s">
        <v>397</v>
      </c>
      <c r="H75" s="20">
        <v>4</v>
      </c>
      <c r="I75" s="20" t="s">
        <v>538</v>
      </c>
      <c r="J75" s="18">
        <v>9.5</v>
      </c>
      <c r="K75" s="18">
        <v>10</v>
      </c>
      <c r="L75" s="18">
        <v>8</v>
      </c>
      <c r="M75" s="18" t="s">
        <v>13</v>
      </c>
      <c r="N75" s="16"/>
    </row>
    <row r="76" spans="2:15" ht="24.95" customHeight="1">
      <c r="B76" s="15">
        <v>67</v>
      </c>
      <c r="C76" s="22" t="s">
        <v>641</v>
      </c>
      <c r="D76" s="38" t="s">
        <v>366</v>
      </c>
      <c r="E76" s="39" t="s">
        <v>84</v>
      </c>
      <c r="F76" s="20" t="s">
        <v>405</v>
      </c>
      <c r="G76" s="20" t="s">
        <v>397</v>
      </c>
      <c r="H76" s="20">
        <v>4</v>
      </c>
      <c r="I76" s="20" t="s">
        <v>538</v>
      </c>
      <c r="J76" s="18">
        <v>10</v>
      </c>
      <c r="K76" s="18">
        <v>10</v>
      </c>
      <c r="L76" s="18">
        <v>10</v>
      </c>
      <c r="M76" s="18" t="s">
        <v>13</v>
      </c>
      <c r="N76" s="16" t="s">
        <v>2851</v>
      </c>
    </row>
    <row r="77" spans="2:15" ht="24.95" customHeight="1">
      <c r="B77" s="15">
        <v>68</v>
      </c>
      <c r="C77" s="22" t="s">
        <v>642</v>
      </c>
      <c r="D77" s="38" t="s">
        <v>643</v>
      </c>
      <c r="E77" s="39" t="s">
        <v>87</v>
      </c>
      <c r="F77" s="20" t="s">
        <v>456</v>
      </c>
      <c r="G77" s="20" t="s">
        <v>397</v>
      </c>
      <c r="H77" s="20">
        <v>4</v>
      </c>
      <c r="I77" s="20" t="s">
        <v>538</v>
      </c>
      <c r="J77" s="18">
        <v>9.5</v>
      </c>
      <c r="K77" s="18">
        <v>10</v>
      </c>
      <c r="L77" s="18">
        <v>10</v>
      </c>
      <c r="M77" s="18" t="s">
        <v>13</v>
      </c>
      <c r="N77" s="16"/>
    </row>
    <row r="78" spans="2:15" ht="24.95" customHeight="1">
      <c r="B78" s="15">
        <v>69</v>
      </c>
      <c r="C78" s="22" t="s">
        <v>644</v>
      </c>
      <c r="D78" s="38" t="s">
        <v>157</v>
      </c>
      <c r="E78" s="39" t="s">
        <v>89</v>
      </c>
      <c r="F78" s="20" t="s">
        <v>405</v>
      </c>
      <c r="G78" s="20" t="s">
        <v>397</v>
      </c>
      <c r="H78" s="20">
        <v>4</v>
      </c>
      <c r="I78" s="20" t="s">
        <v>538</v>
      </c>
      <c r="J78" s="18">
        <v>9</v>
      </c>
      <c r="K78" s="18">
        <v>10</v>
      </c>
      <c r="L78" s="18">
        <v>9.5</v>
      </c>
      <c r="M78" s="18" t="s">
        <v>13</v>
      </c>
      <c r="N78" s="16"/>
    </row>
    <row r="79" spans="2:15" ht="24.95" customHeight="1">
      <c r="B79" s="15">
        <v>70</v>
      </c>
      <c r="C79" s="22" t="s">
        <v>645</v>
      </c>
      <c r="D79" s="38" t="s">
        <v>70</v>
      </c>
      <c r="E79" s="39" t="s">
        <v>89</v>
      </c>
      <c r="F79" s="20" t="s">
        <v>432</v>
      </c>
      <c r="G79" s="20" t="s">
        <v>397</v>
      </c>
      <c r="H79" s="20">
        <v>4</v>
      </c>
      <c r="I79" s="20" t="s">
        <v>538</v>
      </c>
      <c r="J79" s="18">
        <v>10</v>
      </c>
      <c r="K79" s="18">
        <v>10</v>
      </c>
      <c r="L79" s="18">
        <v>7.5</v>
      </c>
      <c r="M79" s="18" t="s">
        <v>13</v>
      </c>
      <c r="N79" s="16" t="str">
        <f t="shared" ref="N79:N96" si="2">+IF(OR($J79=0,$K79=0,$L79=0,$M79=0),"Không đủ ĐKDT","")</f>
        <v/>
      </c>
    </row>
    <row r="80" spans="2:15" ht="24.95" customHeight="1">
      <c r="B80" s="15">
        <v>71</v>
      </c>
      <c r="C80" s="22" t="s">
        <v>646</v>
      </c>
      <c r="D80" s="38" t="s">
        <v>197</v>
      </c>
      <c r="E80" s="39" t="s">
        <v>91</v>
      </c>
      <c r="F80" s="20" t="s">
        <v>52</v>
      </c>
      <c r="G80" s="20" t="s">
        <v>397</v>
      </c>
      <c r="H80" s="20">
        <v>4</v>
      </c>
      <c r="I80" s="20" t="s">
        <v>538</v>
      </c>
      <c r="J80" s="18">
        <v>10</v>
      </c>
      <c r="K80" s="18">
        <v>9</v>
      </c>
      <c r="L80" s="18">
        <v>9</v>
      </c>
      <c r="M80" s="18" t="s">
        <v>13</v>
      </c>
      <c r="N80" s="16" t="str">
        <f t="shared" si="2"/>
        <v/>
      </c>
    </row>
    <row r="81" spans="2:15" ht="24.95" customHeight="1">
      <c r="B81" s="15">
        <v>72</v>
      </c>
      <c r="C81" s="22" t="s">
        <v>647</v>
      </c>
      <c r="D81" s="38" t="s">
        <v>76</v>
      </c>
      <c r="E81" s="39" t="s">
        <v>93</v>
      </c>
      <c r="F81" s="20" t="s">
        <v>414</v>
      </c>
      <c r="G81" s="20" t="s">
        <v>397</v>
      </c>
      <c r="H81" s="20">
        <v>4</v>
      </c>
      <c r="I81" s="20" t="s">
        <v>538</v>
      </c>
      <c r="J81" s="18">
        <v>10</v>
      </c>
      <c r="K81" s="18">
        <v>10</v>
      </c>
      <c r="L81" s="18">
        <v>9</v>
      </c>
      <c r="M81" s="18" t="s">
        <v>13</v>
      </c>
      <c r="N81" s="16" t="str">
        <f t="shared" si="2"/>
        <v/>
      </c>
    </row>
    <row r="82" spans="2:15" ht="24.95" customHeight="1">
      <c r="B82" s="15">
        <v>73</v>
      </c>
      <c r="C82" s="22" t="s">
        <v>648</v>
      </c>
      <c r="D82" s="38" t="s">
        <v>649</v>
      </c>
      <c r="E82" s="39" t="s">
        <v>95</v>
      </c>
      <c r="F82" s="20" t="s">
        <v>82</v>
      </c>
      <c r="G82" s="20" t="s">
        <v>397</v>
      </c>
      <c r="H82" s="20">
        <v>4</v>
      </c>
      <c r="I82" s="20" t="s">
        <v>538</v>
      </c>
      <c r="J82" s="18">
        <v>10</v>
      </c>
      <c r="K82" s="18">
        <v>10</v>
      </c>
      <c r="L82" s="18">
        <v>8</v>
      </c>
      <c r="M82" s="18" t="s">
        <v>13</v>
      </c>
      <c r="N82" s="16" t="s">
        <v>2859</v>
      </c>
    </row>
    <row r="83" spans="2:15" ht="24.95" customHeight="1">
      <c r="B83" s="15">
        <v>74</v>
      </c>
      <c r="C83" s="22" t="s">
        <v>650</v>
      </c>
      <c r="D83" s="38" t="s">
        <v>76</v>
      </c>
      <c r="E83" s="39" t="s">
        <v>97</v>
      </c>
      <c r="F83" s="20" t="s">
        <v>420</v>
      </c>
      <c r="G83" s="20" t="s">
        <v>397</v>
      </c>
      <c r="H83" s="20">
        <v>4</v>
      </c>
      <c r="I83" s="20" t="s">
        <v>538</v>
      </c>
      <c r="J83" s="18">
        <v>9</v>
      </c>
      <c r="K83" s="18">
        <v>10</v>
      </c>
      <c r="L83" s="18">
        <v>8</v>
      </c>
      <c r="M83" s="18" t="s">
        <v>13</v>
      </c>
      <c r="N83" s="16"/>
    </row>
    <row r="84" spans="2:15" ht="24.95" customHeight="1">
      <c r="B84" s="15">
        <v>75</v>
      </c>
      <c r="C84" s="22" t="s">
        <v>651</v>
      </c>
      <c r="D84" s="38" t="s">
        <v>652</v>
      </c>
      <c r="E84" s="39" t="s">
        <v>153</v>
      </c>
      <c r="F84" s="20" t="s">
        <v>40</v>
      </c>
      <c r="G84" s="20" t="s">
        <v>397</v>
      </c>
      <c r="H84" s="20">
        <v>4</v>
      </c>
      <c r="I84" s="20" t="s">
        <v>538</v>
      </c>
      <c r="J84" s="18">
        <v>9.5</v>
      </c>
      <c r="K84" s="18">
        <v>9.5</v>
      </c>
      <c r="L84" s="18">
        <v>7.5</v>
      </c>
      <c r="M84" s="18" t="s">
        <v>13</v>
      </c>
      <c r="N84" s="16"/>
    </row>
    <row r="85" spans="2:15" ht="24.95" customHeight="1">
      <c r="B85" s="15">
        <v>76</v>
      </c>
      <c r="C85" s="22" t="s">
        <v>653</v>
      </c>
      <c r="D85" s="38" t="s">
        <v>652</v>
      </c>
      <c r="E85" s="39" t="s">
        <v>156</v>
      </c>
      <c r="F85" s="20" t="s">
        <v>468</v>
      </c>
      <c r="G85" s="20" t="s">
        <v>397</v>
      </c>
      <c r="H85" s="20">
        <v>4</v>
      </c>
      <c r="I85" s="20" t="s">
        <v>538</v>
      </c>
      <c r="J85" s="18">
        <v>10</v>
      </c>
      <c r="K85" s="18">
        <v>10</v>
      </c>
      <c r="L85" s="18">
        <v>9</v>
      </c>
      <c r="M85" s="18" t="s">
        <v>13</v>
      </c>
      <c r="N85" s="16" t="str">
        <f t="shared" si="2"/>
        <v/>
      </c>
    </row>
    <row r="86" spans="2:15" ht="24.95" customHeight="1">
      <c r="B86" s="15">
        <v>77</v>
      </c>
      <c r="C86" s="22" t="s">
        <v>654</v>
      </c>
      <c r="D86" s="38" t="s">
        <v>655</v>
      </c>
      <c r="E86" s="39" t="s">
        <v>156</v>
      </c>
      <c r="F86" s="20" t="s">
        <v>52</v>
      </c>
      <c r="G86" s="20" t="s">
        <v>397</v>
      </c>
      <c r="H86" s="20">
        <v>4</v>
      </c>
      <c r="I86" s="20" t="s">
        <v>538</v>
      </c>
      <c r="J86" s="18">
        <v>10</v>
      </c>
      <c r="K86" s="18">
        <v>9</v>
      </c>
      <c r="L86" s="18">
        <v>9.5</v>
      </c>
      <c r="M86" s="18" t="s">
        <v>13</v>
      </c>
      <c r="N86" s="16" t="str">
        <f t="shared" si="2"/>
        <v/>
      </c>
    </row>
    <row r="87" spans="2:15" ht="24.95" customHeight="1">
      <c r="B87" s="15">
        <v>78</v>
      </c>
      <c r="C87" s="22" t="s">
        <v>656</v>
      </c>
      <c r="D87" s="38" t="s">
        <v>657</v>
      </c>
      <c r="E87" s="39" t="s">
        <v>161</v>
      </c>
      <c r="F87" s="20" t="s">
        <v>30</v>
      </c>
      <c r="G87" s="20" t="s">
        <v>397</v>
      </c>
      <c r="H87" s="20">
        <v>4</v>
      </c>
      <c r="I87" s="20" t="s">
        <v>538</v>
      </c>
      <c r="J87" s="18">
        <v>10</v>
      </c>
      <c r="K87" s="18">
        <v>10</v>
      </c>
      <c r="L87" s="18">
        <v>6.5</v>
      </c>
      <c r="M87" s="18" t="s">
        <v>13</v>
      </c>
      <c r="N87" s="16" t="str">
        <f t="shared" si="2"/>
        <v/>
      </c>
    </row>
    <row r="88" spans="2:15" ht="24.95" customHeight="1">
      <c r="B88" s="15">
        <v>79</v>
      </c>
      <c r="C88" s="22" t="s">
        <v>658</v>
      </c>
      <c r="D88" s="38" t="s">
        <v>659</v>
      </c>
      <c r="E88" s="39" t="s">
        <v>381</v>
      </c>
      <c r="F88" s="20" t="s">
        <v>405</v>
      </c>
      <c r="G88" s="20" t="s">
        <v>397</v>
      </c>
      <c r="H88" s="20">
        <v>4</v>
      </c>
      <c r="I88" s="20" t="s">
        <v>538</v>
      </c>
      <c r="J88" s="18">
        <v>10</v>
      </c>
      <c r="K88" s="18">
        <v>9.5</v>
      </c>
      <c r="L88" s="18">
        <v>10</v>
      </c>
      <c r="M88" s="18" t="s">
        <v>13</v>
      </c>
      <c r="N88" s="16"/>
    </row>
    <row r="89" spans="2:15" ht="24.95" customHeight="1">
      <c r="B89" s="15">
        <v>80</v>
      </c>
      <c r="C89" s="22" t="s">
        <v>660</v>
      </c>
      <c r="D89" s="38" t="s">
        <v>163</v>
      </c>
      <c r="E89" s="39" t="s">
        <v>661</v>
      </c>
      <c r="F89" s="20" t="s">
        <v>432</v>
      </c>
      <c r="G89" s="20" t="s">
        <v>397</v>
      </c>
      <c r="H89" s="20">
        <v>4</v>
      </c>
      <c r="I89" s="20" t="s">
        <v>538</v>
      </c>
      <c r="J89" s="18">
        <v>9.5</v>
      </c>
      <c r="K89" s="18">
        <v>9.5</v>
      </c>
      <c r="L89" s="18">
        <v>8.5</v>
      </c>
      <c r="M89" s="18" t="s">
        <v>13</v>
      </c>
      <c r="N89" s="16"/>
    </row>
    <row r="90" spans="2:15" ht="24.95" customHeight="1">
      <c r="B90" s="15">
        <v>81</v>
      </c>
      <c r="C90" s="22" t="s">
        <v>662</v>
      </c>
      <c r="D90" s="38" t="s">
        <v>663</v>
      </c>
      <c r="E90" s="39" t="s">
        <v>165</v>
      </c>
      <c r="F90" s="20" t="s">
        <v>43</v>
      </c>
      <c r="G90" s="20" t="s">
        <v>397</v>
      </c>
      <c r="H90" s="20">
        <v>4</v>
      </c>
      <c r="I90" s="20" t="s">
        <v>538</v>
      </c>
      <c r="J90" s="18">
        <v>8</v>
      </c>
      <c r="K90" s="18">
        <v>9.5</v>
      </c>
      <c r="L90" s="18">
        <v>6.5</v>
      </c>
      <c r="M90" s="18" t="s">
        <v>13</v>
      </c>
      <c r="N90" s="16"/>
    </row>
    <row r="91" spans="2:15" ht="24.95" customHeight="1">
      <c r="B91" s="15">
        <v>82</v>
      </c>
      <c r="C91" s="22" t="s">
        <v>664</v>
      </c>
      <c r="D91" s="38" t="s">
        <v>124</v>
      </c>
      <c r="E91" s="39" t="s">
        <v>166</v>
      </c>
      <c r="F91" s="20" t="s">
        <v>444</v>
      </c>
      <c r="G91" s="20" t="s">
        <v>397</v>
      </c>
      <c r="H91" s="20">
        <v>4</v>
      </c>
      <c r="I91" s="20" t="s">
        <v>538</v>
      </c>
      <c r="J91" s="18">
        <v>10</v>
      </c>
      <c r="K91" s="18">
        <v>10</v>
      </c>
      <c r="L91" s="18">
        <v>7.5</v>
      </c>
      <c r="M91" s="18" t="s">
        <v>13</v>
      </c>
      <c r="N91" s="16" t="str">
        <f t="shared" si="2"/>
        <v/>
      </c>
    </row>
    <row r="92" spans="2:15" ht="24.95" customHeight="1">
      <c r="B92" s="15">
        <v>83</v>
      </c>
      <c r="C92" s="22" t="s">
        <v>123</v>
      </c>
      <c r="D92" s="38" t="s">
        <v>124</v>
      </c>
      <c r="E92" s="39" t="s">
        <v>125</v>
      </c>
      <c r="F92" s="20" t="s">
        <v>52</v>
      </c>
      <c r="G92" s="20" t="s">
        <v>397</v>
      </c>
      <c r="H92" s="20">
        <v>4</v>
      </c>
      <c r="I92" s="20" t="s">
        <v>538</v>
      </c>
      <c r="J92" s="18">
        <v>9.5</v>
      </c>
      <c r="K92" s="18">
        <v>10</v>
      </c>
      <c r="L92" s="18">
        <v>9</v>
      </c>
      <c r="M92" s="18" t="s">
        <v>13</v>
      </c>
      <c r="N92" s="16"/>
    </row>
    <row r="93" spans="2:15" ht="24.95" customHeight="1">
      <c r="B93" s="15">
        <v>84</v>
      </c>
      <c r="C93" s="22" t="s">
        <v>665</v>
      </c>
      <c r="D93" s="38" t="s">
        <v>138</v>
      </c>
      <c r="E93" s="39" t="s">
        <v>128</v>
      </c>
      <c r="F93" s="20" t="s">
        <v>30</v>
      </c>
      <c r="G93" s="20" t="s">
        <v>397</v>
      </c>
      <c r="H93" s="20">
        <v>4</v>
      </c>
      <c r="I93" s="20" t="s">
        <v>538</v>
      </c>
      <c r="J93" s="18">
        <v>10</v>
      </c>
      <c r="K93" s="18">
        <v>9.5</v>
      </c>
      <c r="L93" s="18">
        <v>8</v>
      </c>
      <c r="M93" s="18" t="s">
        <v>13</v>
      </c>
      <c r="N93" s="16" t="str">
        <f t="shared" si="2"/>
        <v/>
      </c>
    </row>
    <row r="94" spans="2:15" ht="24.95" customHeight="1">
      <c r="B94" s="15">
        <v>85</v>
      </c>
      <c r="C94" s="22" t="s">
        <v>666</v>
      </c>
      <c r="D94" s="38" t="s">
        <v>112</v>
      </c>
      <c r="E94" s="39" t="s">
        <v>203</v>
      </c>
      <c r="F94" s="20" t="s">
        <v>444</v>
      </c>
      <c r="G94" s="20" t="s">
        <v>397</v>
      </c>
      <c r="H94" s="20">
        <v>4</v>
      </c>
      <c r="I94" s="20" t="s">
        <v>538</v>
      </c>
      <c r="J94" s="18">
        <v>10</v>
      </c>
      <c r="K94" s="18">
        <v>10</v>
      </c>
      <c r="L94" s="18">
        <v>9.5</v>
      </c>
      <c r="M94" s="18" t="s">
        <v>13</v>
      </c>
      <c r="N94" s="16" t="str">
        <f t="shared" si="2"/>
        <v/>
      </c>
    </row>
    <row r="95" spans="2:15" ht="24.95" customHeight="1">
      <c r="B95" s="15">
        <v>86</v>
      </c>
      <c r="C95" s="22" t="s">
        <v>667</v>
      </c>
      <c r="D95" s="38" t="s">
        <v>668</v>
      </c>
      <c r="E95" s="39" t="s">
        <v>203</v>
      </c>
      <c r="F95" s="20" t="s">
        <v>456</v>
      </c>
      <c r="G95" s="20" t="s">
        <v>397</v>
      </c>
      <c r="H95" s="20">
        <v>4</v>
      </c>
      <c r="I95" s="20" t="s">
        <v>538</v>
      </c>
      <c r="J95" s="18">
        <v>10</v>
      </c>
      <c r="K95" s="18">
        <v>10</v>
      </c>
      <c r="L95" s="18">
        <v>10</v>
      </c>
      <c r="M95" s="18" t="s">
        <v>13</v>
      </c>
      <c r="N95" s="16" t="str">
        <f t="shared" si="2"/>
        <v/>
      </c>
      <c r="O95" s="51">
        <v>0.3</v>
      </c>
    </row>
    <row r="96" spans="2:15" ht="24.95" customHeight="1">
      <c r="B96" s="15">
        <v>87</v>
      </c>
      <c r="C96" s="22" t="s">
        <v>669</v>
      </c>
      <c r="D96" s="38" t="s">
        <v>670</v>
      </c>
      <c r="E96" s="39" t="s">
        <v>671</v>
      </c>
      <c r="F96" s="20" t="s">
        <v>30</v>
      </c>
      <c r="G96" s="20" t="s">
        <v>397</v>
      </c>
      <c r="H96" s="20">
        <v>4</v>
      </c>
      <c r="I96" s="20" t="s">
        <v>538</v>
      </c>
      <c r="J96" s="18">
        <v>10</v>
      </c>
      <c r="K96" s="18">
        <v>10</v>
      </c>
      <c r="L96" s="18">
        <v>8</v>
      </c>
      <c r="M96" s="18" t="s">
        <v>13</v>
      </c>
      <c r="N96" s="16" t="str">
        <f t="shared" si="2"/>
        <v/>
      </c>
    </row>
    <row r="97" spans="2:14" ht="24.95" customHeight="1">
      <c r="B97" s="15">
        <v>88</v>
      </c>
      <c r="C97" s="22" t="s">
        <v>672</v>
      </c>
      <c r="D97" s="38" t="s">
        <v>70</v>
      </c>
      <c r="E97" s="39" t="s">
        <v>358</v>
      </c>
      <c r="F97" s="20" t="s">
        <v>405</v>
      </c>
      <c r="G97" s="20" t="s">
        <v>397</v>
      </c>
      <c r="H97" s="20">
        <v>4</v>
      </c>
      <c r="I97" s="20" t="s">
        <v>538</v>
      </c>
      <c r="J97" s="18">
        <v>9.5</v>
      </c>
      <c r="K97" s="18">
        <v>10</v>
      </c>
      <c r="L97" s="18">
        <v>10</v>
      </c>
      <c r="M97" s="18" t="s">
        <v>13</v>
      </c>
      <c r="N97" s="16"/>
    </row>
    <row r="98" spans="2:14" ht="19.5" customHeight="1">
      <c r="B98" s="64" t="s">
        <v>20</v>
      </c>
      <c r="C98" s="64"/>
      <c r="D98" s="64"/>
      <c r="E98" s="64"/>
    </row>
    <row r="99" spans="2:14" ht="19.5" customHeight="1">
      <c r="B99" s="55" t="str">
        <f>"Điểm chuyên cần: " &amp; $J$9 &amp; " "</f>
        <v xml:space="preserve">Điểm chuyên cần: 0.1 </v>
      </c>
      <c r="C99" s="55"/>
      <c r="D99" s="55"/>
      <c r="E99" s="55"/>
    </row>
    <row r="100" spans="2:14" ht="19.5" customHeight="1">
      <c r="B100" s="55" t="str">
        <f>"Điểm trung bình kiểm tra: "&amp;$K$9&amp;""</f>
        <v>Điểm trung bình kiểm tra: 0.1</v>
      </c>
      <c r="C100" s="55"/>
      <c r="D100" s="55"/>
      <c r="E100" s="55"/>
    </row>
    <row r="101" spans="2:14" ht="19.5" customHeight="1">
      <c r="B101" s="55" t="str">
        <f>"Điểm thí nghiệm, thực hành: "&amp;$L$9&amp;""</f>
        <v>Điểm thí nghiệm, thực hành: 0.2</v>
      </c>
      <c r="C101" s="55"/>
      <c r="D101" s="55"/>
      <c r="E101" s="55"/>
    </row>
    <row r="102" spans="2:14" ht="19.5" customHeight="1">
      <c r="B102" s="55" t="str">
        <f>"Điểm bài tập tiểu luận, seminar: "&amp;$M$9&amp;""</f>
        <v xml:space="preserve">Điểm bài tập tiểu luận, seminar: </v>
      </c>
      <c r="C102" s="55"/>
      <c r="D102" s="55"/>
      <c r="E102" s="55"/>
    </row>
    <row r="103" spans="2:14">
      <c r="C103" s="41"/>
      <c r="J103" s="56" t="s">
        <v>2844</v>
      </c>
      <c r="K103" s="56"/>
      <c r="L103" s="56"/>
      <c r="M103" s="56"/>
      <c r="N103" s="56"/>
    </row>
    <row r="104" spans="2:14" ht="32.25" customHeight="1">
      <c r="B104" s="57" t="s">
        <v>17</v>
      </c>
      <c r="C104" s="57"/>
      <c r="D104" s="57"/>
      <c r="E104" s="57"/>
      <c r="F104" s="41"/>
      <c r="G104" s="41"/>
      <c r="H104" s="41"/>
      <c r="I104" s="41"/>
      <c r="J104" s="57" t="s">
        <v>18</v>
      </c>
      <c r="K104" s="57"/>
      <c r="L104" s="57"/>
      <c r="M104" s="57"/>
      <c r="N104" s="57"/>
    </row>
    <row r="105" spans="2:14">
      <c r="C105" s="41"/>
    </row>
    <row r="106" spans="2:14">
      <c r="C106" s="41"/>
    </row>
    <row r="107" spans="2:14">
      <c r="C107" s="41"/>
    </row>
    <row r="108" spans="2:14">
      <c r="C108" s="41"/>
    </row>
    <row r="109" spans="2:14">
      <c r="C109" s="41"/>
    </row>
    <row r="110" spans="2:14">
      <c r="B110" s="58" t="s">
        <v>2834</v>
      </c>
      <c r="C110" s="58"/>
      <c r="D110" s="58"/>
      <c r="E110" s="58"/>
      <c r="J110" s="58" t="s">
        <v>2834</v>
      </c>
      <c r="K110" s="58"/>
      <c r="L110" s="58"/>
      <c r="M110" s="58"/>
      <c r="N110" s="58"/>
    </row>
  </sheetData>
  <sheetProtection formatCells="0" formatColumns="0" formatRows="0" insertColumns="0" insertRows="0" insertHyperlinks="0" deleteColumns="0" deleteRows="0" sort="0" autoFilter="0" pivotTables="0"/>
  <autoFilter ref="A8:N39">
    <filterColumn colId="3" showButton="0"/>
  </autoFilter>
  <mergeCells count="35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101:E101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8:E98"/>
    <mergeCell ref="B99:E99"/>
    <mergeCell ref="B100:E100"/>
    <mergeCell ref="L7:L8"/>
    <mergeCell ref="M7:M8"/>
    <mergeCell ref="B102:E102"/>
    <mergeCell ref="J103:N103"/>
    <mergeCell ref="B104:E104"/>
    <mergeCell ref="J104:N104"/>
    <mergeCell ref="J110:N110"/>
    <mergeCell ref="B110:E110"/>
  </mergeCells>
  <conditionalFormatting sqref="J10:M97">
    <cfRule type="cellIs" dxfId="45" priority="43" stopIfTrue="1" operator="greaterThan">
      <formula>10</formula>
    </cfRule>
    <cfRule type="cellIs" dxfId="44" priority="44" stopIfTrue="1" operator="greaterThan">
      <formula>10</formula>
    </cfRule>
    <cfRule type="cellIs" dxfId="43" priority="45" stopIfTrue="1" operator="greaterThan">
      <formula>10</formula>
    </cfRule>
    <cfRule type="cellIs" dxfId="42" priority="46" stopIfTrue="1" operator="greaterThan">
      <formula>10</formula>
    </cfRule>
  </conditionalFormatting>
  <conditionalFormatting sqref="C10:C24 C26:C39">
    <cfRule type="duplicateValues" dxfId="41" priority="181" stopIfTrue="1"/>
    <cfRule type="duplicateValues" dxfId="40" priority="182" stopIfTrue="1"/>
  </conditionalFormatting>
  <conditionalFormatting sqref="C25">
    <cfRule type="duplicateValues" dxfId="39" priority="33" stopIfTrue="1"/>
    <cfRule type="duplicateValues" dxfId="38" priority="34" stopIfTrue="1"/>
  </conditionalFormatting>
  <conditionalFormatting sqref="C40:C68">
    <cfRule type="duplicateValues" dxfId="37" priority="27" stopIfTrue="1"/>
    <cfRule type="duplicateValues" dxfId="36" priority="28" stopIfTrue="1"/>
  </conditionalFormatting>
  <conditionalFormatting sqref="C69:C97">
    <cfRule type="duplicateValues" dxfId="35" priority="13" stopIfTrue="1"/>
    <cfRule type="duplicateValues" dxfId="34" priority="14" stopIfTrue="1"/>
  </conditionalFormatting>
  <dataValidations count="1">
    <dataValidation type="decimal" allowBlank="1" showInputMessage="1" showErrorMessage="1" error="Sai định dạng" sqref="J10:M97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B1:O109"/>
  <sheetViews>
    <sheetView topLeftCell="A100" workbookViewId="0">
      <selection activeCell="Q11" sqref="Q11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34" customWidth="1"/>
    <col min="5" max="5" width="11.375" style="34" customWidth="1"/>
    <col min="6" max="6" width="13.625" style="1" customWidth="1"/>
    <col min="7" max="9" width="13.625" style="1" hidden="1" customWidth="1"/>
    <col min="10" max="12" width="4.375" style="1" customWidth="1"/>
    <col min="13" max="13" width="4.25" style="1" customWidth="1"/>
    <col min="14" max="14" width="18.75" style="1" customWidth="1"/>
    <col min="15" max="15" width="9" style="52"/>
    <col min="16" max="16384" width="9" style="1"/>
  </cols>
  <sheetData>
    <row r="1" spans="2:15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5" ht="15.75" customHeight="1">
      <c r="B2" s="86" t="s">
        <v>14</v>
      </c>
      <c r="C2" s="86"/>
      <c r="D2" s="90" t="s">
        <v>349</v>
      </c>
      <c r="E2" s="90"/>
      <c r="F2" s="26"/>
      <c r="G2" s="26"/>
      <c r="H2" s="26"/>
      <c r="I2" s="26"/>
      <c r="J2" s="85"/>
      <c r="K2" s="85"/>
      <c r="L2" s="85"/>
      <c r="M2" s="85"/>
      <c r="N2" s="85"/>
    </row>
    <row r="3" spans="2:15">
      <c r="B3" s="88" t="s">
        <v>15</v>
      </c>
      <c r="C3" s="88"/>
      <c r="D3" s="91" t="s">
        <v>2833</v>
      </c>
      <c r="E3" s="91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5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BAS1224_11</v>
      </c>
    </row>
    <row r="5" spans="2:15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5" ht="5.25" customHeight="1">
      <c r="B6" s="4"/>
      <c r="C6" s="8"/>
      <c r="D6" s="35"/>
      <c r="E6" s="35"/>
      <c r="F6" s="4"/>
      <c r="G6" s="4"/>
      <c r="H6" s="4"/>
      <c r="I6" s="4"/>
      <c r="J6" s="4"/>
      <c r="K6" s="4"/>
      <c r="L6" s="4"/>
      <c r="M6" s="4"/>
      <c r="N6" s="2"/>
    </row>
    <row r="7" spans="2:15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5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  <c r="O8" s="1"/>
    </row>
    <row r="9" spans="2:15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0">
        <v>0.1</v>
      </c>
      <c r="K9" s="50">
        <v>0.1</v>
      </c>
      <c r="L9" s="50">
        <v>0.2</v>
      </c>
      <c r="M9" s="5"/>
      <c r="N9" s="61"/>
    </row>
    <row r="10" spans="2:15" ht="24.95" customHeight="1">
      <c r="B10" s="13">
        <v>1</v>
      </c>
      <c r="C10" s="21" t="s">
        <v>394</v>
      </c>
      <c r="D10" s="36" t="s">
        <v>395</v>
      </c>
      <c r="E10" s="37" t="s">
        <v>26</v>
      </c>
      <c r="F10" s="19" t="s">
        <v>396</v>
      </c>
      <c r="G10" s="19" t="s">
        <v>397</v>
      </c>
      <c r="H10" s="19">
        <v>4</v>
      </c>
      <c r="I10" s="19" t="s">
        <v>398</v>
      </c>
      <c r="J10" s="17">
        <v>10</v>
      </c>
      <c r="K10" s="17">
        <v>10</v>
      </c>
      <c r="L10" s="17">
        <v>10</v>
      </c>
      <c r="M10" s="17" t="s">
        <v>13</v>
      </c>
      <c r="N10" s="14" t="s">
        <v>2847</v>
      </c>
      <c r="O10" s="52">
        <v>0.3</v>
      </c>
    </row>
    <row r="11" spans="2:15" ht="24.95" customHeight="1">
      <c r="B11" s="15">
        <v>2</v>
      </c>
      <c r="C11" s="22" t="s">
        <v>399</v>
      </c>
      <c r="D11" s="38" t="s">
        <v>206</v>
      </c>
      <c r="E11" s="39" t="s">
        <v>27</v>
      </c>
      <c r="F11" s="20" t="s">
        <v>400</v>
      </c>
      <c r="G11" s="20" t="s">
        <v>397</v>
      </c>
      <c r="H11" s="20">
        <v>4</v>
      </c>
      <c r="I11" s="20" t="s">
        <v>398</v>
      </c>
      <c r="J11" s="18">
        <v>9.5</v>
      </c>
      <c r="K11" s="18">
        <v>10</v>
      </c>
      <c r="L11" s="18">
        <v>9</v>
      </c>
      <c r="M11" s="18" t="s">
        <v>13</v>
      </c>
      <c r="N11" s="16"/>
    </row>
    <row r="12" spans="2:15" ht="24.95" customHeight="1">
      <c r="B12" s="15">
        <v>3</v>
      </c>
      <c r="C12" s="22" t="s">
        <v>401</v>
      </c>
      <c r="D12" s="38" t="s">
        <v>206</v>
      </c>
      <c r="E12" s="39" t="s">
        <v>27</v>
      </c>
      <c r="F12" s="20" t="s">
        <v>38</v>
      </c>
      <c r="G12" s="20" t="s">
        <v>397</v>
      </c>
      <c r="H12" s="20">
        <v>4</v>
      </c>
      <c r="I12" s="20" t="s">
        <v>398</v>
      </c>
      <c r="J12" s="18">
        <v>10</v>
      </c>
      <c r="K12" s="18">
        <v>10</v>
      </c>
      <c r="L12" s="18">
        <v>10</v>
      </c>
      <c r="M12" s="18" t="s">
        <v>13</v>
      </c>
      <c r="N12" s="16" t="str">
        <f t="shared" ref="N12:N38" si="0">+IF(OR($J12=0,$K12=0,$L12=0,$M12=0),"Không đủ ĐKDT","")</f>
        <v/>
      </c>
    </row>
    <row r="13" spans="2:15" ht="24.95" customHeight="1">
      <c r="B13" s="15">
        <v>4</v>
      </c>
      <c r="C13" s="22" t="s">
        <v>402</v>
      </c>
      <c r="D13" s="38" t="s">
        <v>266</v>
      </c>
      <c r="E13" s="39" t="s">
        <v>27</v>
      </c>
      <c r="F13" s="20" t="s">
        <v>43</v>
      </c>
      <c r="G13" s="20" t="s">
        <v>397</v>
      </c>
      <c r="H13" s="20">
        <v>4</v>
      </c>
      <c r="I13" s="20" t="s">
        <v>398</v>
      </c>
      <c r="J13" s="18">
        <v>10</v>
      </c>
      <c r="K13" s="18">
        <v>10</v>
      </c>
      <c r="L13" s="18">
        <v>10</v>
      </c>
      <c r="M13" s="18" t="s">
        <v>13</v>
      </c>
      <c r="N13" s="16" t="s">
        <v>2835</v>
      </c>
    </row>
    <row r="14" spans="2:15" ht="24.95" customHeight="1">
      <c r="B14" s="15">
        <v>5</v>
      </c>
      <c r="C14" s="22" t="s">
        <v>403</v>
      </c>
      <c r="D14" s="38" t="s">
        <v>404</v>
      </c>
      <c r="E14" s="39" t="s">
        <v>27</v>
      </c>
      <c r="F14" s="20" t="s">
        <v>405</v>
      </c>
      <c r="G14" s="20" t="s">
        <v>397</v>
      </c>
      <c r="H14" s="20">
        <v>4</v>
      </c>
      <c r="I14" s="20" t="s">
        <v>398</v>
      </c>
      <c r="J14" s="18">
        <v>9.5</v>
      </c>
      <c r="K14" s="18">
        <v>10</v>
      </c>
      <c r="L14" s="18">
        <v>7.5</v>
      </c>
      <c r="M14" s="18" t="s">
        <v>13</v>
      </c>
      <c r="N14" s="16"/>
    </row>
    <row r="15" spans="2:15" ht="24.95" customHeight="1">
      <c r="B15" s="15">
        <v>6</v>
      </c>
      <c r="C15" s="22" t="s">
        <v>406</v>
      </c>
      <c r="D15" s="38" t="s">
        <v>37</v>
      </c>
      <c r="E15" s="39" t="s">
        <v>27</v>
      </c>
      <c r="F15" s="20" t="s">
        <v>38</v>
      </c>
      <c r="G15" s="20" t="s">
        <v>397</v>
      </c>
      <c r="H15" s="20">
        <v>4</v>
      </c>
      <c r="I15" s="20" t="s">
        <v>398</v>
      </c>
      <c r="J15" s="18">
        <v>8.5</v>
      </c>
      <c r="K15" s="18">
        <v>9</v>
      </c>
      <c r="L15" s="18">
        <v>8.5</v>
      </c>
      <c r="M15" s="18" t="s">
        <v>13</v>
      </c>
      <c r="N15" s="16"/>
    </row>
    <row r="16" spans="2:15" ht="24.95" customHeight="1">
      <c r="B16" s="15">
        <v>7</v>
      </c>
      <c r="C16" s="22" t="s">
        <v>407</v>
      </c>
      <c r="D16" s="38" t="s">
        <v>408</v>
      </c>
      <c r="E16" s="39" t="s">
        <v>27</v>
      </c>
      <c r="F16" s="20" t="s">
        <v>38</v>
      </c>
      <c r="G16" s="20" t="s">
        <v>397</v>
      </c>
      <c r="H16" s="20">
        <v>4</v>
      </c>
      <c r="I16" s="20" t="s">
        <v>398</v>
      </c>
      <c r="J16" s="18">
        <v>10</v>
      </c>
      <c r="K16" s="18">
        <v>9</v>
      </c>
      <c r="L16" s="18">
        <v>9</v>
      </c>
      <c r="M16" s="18" t="s">
        <v>13</v>
      </c>
      <c r="N16" s="16" t="str">
        <f t="shared" si="0"/>
        <v/>
      </c>
    </row>
    <row r="17" spans="2:15" ht="24.95" customHeight="1">
      <c r="B17" s="15">
        <v>8</v>
      </c>
      <c r="C17" s="22" t="s">
        <v>409</v>
      </c>
      <c r="D17" s="38" t="s">
        <v>28</v>
      </c>
      <c r="E17" s="39" t="s">
        <v>27</v>
      </c>
      <c r="F17" s="20" t="s">
        <v>410</v>
      </c>
      <c r="G17" s="20" t="s">
        <v>397</v>
      </c>
      <c r="H17" s="20">
        <v>4</v>
      </c>
      <c r="I17" s="20" t="s">
        <v>398</v>
      </c>
      <c r="J17" s="18">
        <v>8</v>
      </c>
      <c r="K17" s="18">
        <v>9.5</v>
      </c>
      <c r="L17" s="18">
        <v>9.5</v>
      </c>
      <c r="M17" s="18" t="s">
        <v>13</v>
      </c>
      <c r="N17" s="16"/>
    </row>
    <row r="18" spans="2:15" ht="24.95" customHeight="1">
      <c r="B18" s="15">
        <v>9</v>
      </c>
      <c r="C18" s="22" t="s">
        <v>411</v>
      </c>
      <c r="D18" s="38" t="s">
        <v>239</v>
      </c>
      <c r="E18" s="39" t="s">
        <v>176</v>
      </c>
      <c r="F18" s="20" t="s">
        <v>412</v>
      </c>
      <c r="G18" s="20" t="s">
        <v>397</v>
      </c>
      <c r="H18" s="20">
        <v>4</v>
      </c>
      <c r="I18" s="20" t="s">
        <v>398</v>
      </c>
      <c r="J18" s="18">
        <v>7</v>
      </c>
      <c r="K18" s="18">
        <v>8.5</v>
      </c>
      <c r="L18" s="18">
        <v>8</v>
      </c>
      <c r="M18" s="18" t="s">
        <v>13</v>
      </c>
      <c r="N18" s="16"/>
    </row>
    <row r="19" spans="2:15" ht="24.95" customHeight="1">
      <c r="B19" s="15">
        <v>10</v>
      </c>
      <c r="C19" s="22" t="s">
        <v>413</v>
      </c>
      <c r="D19" s="38" t="s">
        <v>175</v>
      </c>
      <c r="E19" s="39" t="s">
        <v>176</v>
      </c>
      <c r="F19" s="20" t="s">
        <v>414</v>
      </c>
      <c r="G19" s="20" t="s">
        <v>397</v>
      </c>
      <c r="H19" s="20">
        <v>4</v>
      </c>
      <c r="I19" s="20" t="s">
        <v>398</v>
      </c>
      <c r="J19" s="18">
        <v>10</v>
      </c>
      <c r="K19" s="18">
        <v>10</v>
      </c>
      <c r="L19" s="18">
        <v>10</v>
      </c>
      <c r="M19" s="18" t="s">
        <v>13</v>
      </c>
      <c r="N19" s="16" t="str">
        <f t="shared" si="0"/>
        <v/>
      </c>
      <c r="O19" s="52">
        <v>0.3</v>
      </c>
    </row>
    <row r="20" spans="2:15" ht="24.95" customHeight="1">
      <c r="B20" s="15">
        <v>11</v>
      </c>
      <c r="C20" s="22" t="s">
        <v>415</v>
      </c>
      <c r="D20" s="38" t="s">
        <v>416</v>
      </c>
      <c r="E20" s="39" t="s">
        <v>31</v>
      </c>
      <c r="F20" s="20" t="s">
        <v>410</v>
      </c>
      <c r="G20" s="20" t="s">
        <v>397</v>
      </c>
      <c r="H20" s="20">
        <v>4</v>
      </c>
      <c r="I20" s="20" t="s">
        <v>398</v>
      </c>
      <c r="J20" s="18">
        <v>9</v>
      </c>
      <c r="K20" s="18">
        <v>10</v>
      </c>
      <c r="L20" s="18">
        <v>8.5</v>
      </c>
      <c r="M20" s="18" t="s">
        <v>13</v>
      </c>
      <c r="N20" s="16"/>
    </row>
    <row r="21" spans="2:15" ht="24.95" customHeight="1">
      <c r="B21" s="15">
        <v>12</v>
      </c>
      <c r="C21" s="22" t="s">
        <v>417</v>
      </c>
      <c r="D21" s="38" t="s">
        <v>157</v>
      </c>
      <c r="E21" s="39" t="s">
        <v>418</v>
      </c>
      <c r="F21" s="20" t="s">
        <v>414</v>
      </c>
      <c r="G21" s="20" t="s">
        <v>397</v>
      </c>
      <c r="H21" s="20">
        <v>4</v>
      </c>
      <c r="I21" s="20" t="s">
        <v>398</v>
      </c>
      <c r="J21" s="18">
        <v>9</v>
      </c>
      <c r="K21" s="18">
        <v>10</v>
      </c>
      <c r="L21" s="18">
        <v>9.5</v>
      </c>
      <c r="M21" s="18" t="s">
        <v>13</v>
      </c>
      <c r="N21" s="16"/>
    </row>
    <row r="22" spans="2:15" ht="24.95" customHeight="1">
      <c r="B22" s="15">
        <v>13</v>
      </c>
      <c r="C22" s="22" t="s">
        <v>419</v>
      </c>
      <c r="D22" s="38" t="s">
        <v>54</v>
      </c>
      <c r="E22" s="39" t="s">
        <v>179</v>
      </c>
      <c r="F22" s="20" t="s">
        <v>420</v>
      </c>
      <c r="G22" s="20" t="s">
        <v>397</v>
      </c>
      <c r="H22" s="20">
        <v>4</v>
      </c>
      <c r="I22" s="20" t="s">
        <v>398</v>
      </c>
      <c r="J22" s="18">
        <v>9.5</v>
      </c>
      <c r="K22" s="18">
        <v>10</v>
      </c>
      <c r="L22" s="18">
        <v>7.5</v>
      </c>
      <c r="M22" s="18" t="s">
        <v>13</v>
      </c>
      <c r="N22" s="16"/>
    </row>
    <row r="23" spans="2:15" ht="24.95" customHeight="1">
      <c r="B23" s="15">
        <v>14</v>
      </c>
      <c r="C23" s="22" t="s">
        <v>421</v>
      </c>
      <c r="D23" s="38" t="s">
        <v>76</v>
      </c>
      <c r="E23" s="39" t="s">
        <v>422</v>
      </c>
      <c r="F23" s="20" t="s">
        <v>405</v>
      </c>
      <c r="G23" s="20" t="s">
        <v>397</v>
      </c>
      <c r="H23" s="20">
        <v>4</v>
      </c>
      <c r="I23" s="20" t="s">
        <v>398</v>
      </c>
      <c r="J23" s="18">
        <v>9.5</v>
      </c>
      <c r="K23" s="18">
        <v>9.5</v>
      </c>
      <c r="L23" s="18">
        <v>10</v>
      </c>
      <c r="M23" s="18" t="s">
        <v>13</v>
      </c>
      <c r="N23" s="16"/>
    </row>
    <row r="24" spans="2:15" ht="24.95" customHeight="1">
      <c r="B24" s="15">
        <v>15</v>
      </c>
      <c r="C24" s="22" t="s">
        <v>423</v>
      </c>
      <c r="D24" s="38" t="s">
        <v>119</v>
      </c>
      <c r="E24" s="39" t="s">
        <v>230</v>
      </c>
      <c r="F24" s="20" t="s">
        <v>82</v>
      </c>
      <c r="G24" s="20" t="s">
        <v>397</v>
      </c>
      <c r="H24" s="20">
        <v>4</v>
      </c>
      <c r="I24" s="20" t="s">
        <v>398</v>
      </c>
      <c r="J24" s="18">
        <v>10</v>
      </c>
      <c r="K24" s="18">
        <v>10</v>
      </c>
      <c r="L24" s="18">
        <v>10</v>
      </c>
      <c r="M24" s="18" t="s">
        <v>13</v>
      </c>
      <c r="N24" s="16"/>
      <c r="O24" s="52">
        <v>0.3</v>
      </c>
    </row>
    <row r="25" spans="2:15" ht="24.95" customHeight="1">
      <c r="B25" s="15">
        <v>16</v>
      </c>
      <c r="C25" s="22" t="s">
        <v>424</v>
      </c>
      <c r="D25" s="38" t="s">
        <v>425</v>
      </c>
      <c r="E25" s="39" t="s">
        <v>426</v>
      </c>
      <c r="F25" s="20" t="s">
        <v>43</v>
      </c>
      <c r="G25" s="20" t="s">
        <v>397</v>
      </c>
      <c r="H25" s="20">
        <v>4</v>
      </c>
      <c r="I25" s="20" t="s">
        <v>398</v>
      </c>
      <c r="J25" s="18">
        <v>10</v>
      </c>
      <c r="K25" s="18">
        <v>10</v>
      </c>
      <c r="L25" s="18">
        <v>10</v>
      </c>
      <c r="M25" s="18" t="s">
        <v>13</v>
      </c>
      <c r="N25" s="16" t="s">
        <v>2836</v>
      </c>
    </row>
    <row r="26" spans="2:15" ht="24.95" customHeight="1">
      <c r="B26" s="15">
        <v>17</v>
      </c>
      <c r="C26" s="22" t="s">
        <v>427</v>
      </c>
      <c r="D26" s="38" t="s">
        <v>428</v>
      </c>
      <c r="E26" s="39" t="s">
        <v>180</v>
      </c>
      <c r="F26" s="20" t="s">
        <v>52</v>
      </c>
      <c r="G26" s="20" t="s">
        <v>397</v>
      </c>
      <c r="H26" s="20">
        <v>4</v>
      </c>
      <c r="I26" s="20" t="s">
        <v>398</v>
      </c>
      <c r="J26" s="18">
        <v>10</v>
      </c>
      <c r="K26" s="18">
        <v>10</v>
      </c>
      <c r="L26" s="18">
        <v>9.5</v>
      </c>
      <c r="M26" s="18" t="s">
        <v>13</v>
      </c>
      <c r="N26" s="16" t="str">
        <f t="shared" si="0"/>
        <v/>
      </c>
    </row>
    <row r="27" spans="2:15" ht="24.95" customHeight="1">
      <c r="B27" s="15">
        <v>18</v>
      </c>
      <c r="C27" s="22" t="s">
        <v>429</v>
      </c>
      <c r="D27" s="38" t="s">
        <v>430</v>
      </c>
      <c r="E27" s="39" t="s">
        <v>180</v>
      </c>
      <c r="F27" s="20" t="s">
        <v>412</v>
      </c>
      <c r="G27" s="20" t="s">
        <v>397</v>
      </c>
      <c r="H27" s="20">
        <v>4</v>
      </c>
      <c r="I27" s="20" t="s">
        <v>398</v>
      </c>
      <c r="J27" s="18">
        <v>9</v>
      </c>
      <c r="K27" s="18">
        <v>10</v>
      </c>
      <c r="L27" s="18">
        <v>7.5</v>
      </c>
      <c r="M27" s="18" t="s">
        <v>13</v>
      </c>
      <c r="N27" s="16"/>
    </row>
    <row r="28" spans="2:15" ht="24.95" customHeight="1">
      <c r="B28" s="15">
        <v>19</v>
      </c>
      <c r="C28" s="22" t="s">
        <v>431</v>
      </c>
      <c r="D28" s="38" t="s">
        <v>285</v>
      </c>
      <c r="E28" s="39" t="s">
        <v>180</v>
      </c>
      <c r="F28" s="20" t="s">
        <v>432</v>
      </c>
      <c r="G28" s="20" t="s">
        <v>397</v>
      </c>
      <c r="H28" s="20">
        <v>4</v>
      </c>
      <c r="I28" s="20" t="s">
        <v>398</v>
      </c>
      <c r="J28" s="18">
        <v>10</v>
      </c>
      <c r="K28" s="18">
        <v>10</v>
      </c>
      <c r="L28" s="18">
        <v>10</v>
      </c>
      <c r="M28" s="18" t="s">
        <v>13</v>
      </c>
      <c r="N28" s="16"/>
    </row>
    <row r="29" spans="2:15" ht="24.95" customHeight="1">
      <c r="B29" s="15">
        <v>20</v>
      </c>
      <c r="C29" s="22" t="s">
        <v>433</v>
      </c>
      <c r="D29" s="38" t="s">
        <v>434</v>
      </c>
      <c r="E29" s="39" t="s">
        <v>181</v>
      </c>
      <c r="F29" s="20" t="s">
        <v>52</v>
      </c>
      <c r="G29" s="20" t="s">
        <v>397</v>
      </c>
      <c r="H29" s="20">
        <v>4</v>
      </c>
      <c r="I29" s="20" t="s">
        <v>398</v>
      </c>
      <c r="J29" s="18">
        <v>10</v>
      </c>
      <c r="K29" s="18">
        <v>10</v>
      </c>
      <c r="L29" s="18">
        <v>7.5</v>
      </c>
      <c r="M29" s="18" t="s">
        <v>13</v>
      </c>
      <c r="N29" s="16" t="str">
        <f t="shared" si="0"/>
        <v/>
      </c>
    </row>
    <row r="30" spans="2:15" ht="24.95" customHeight="1">
      <c r="B30" s="15">
        <v>21</v>
      </c>
      <c r="C30" s="22" t="s">
        <v>435</v>
      </c>
      <c r="D30" s="38" t="s">
        <v>436</v>
      </c>
      <c r="E30" s="39" t="s">
        <v>36</v>
      </c>
      <c r="F30" s="20" t="s">
        <v>396</v>
      </c>
      <c r="G30" s="20" t="s">
        <v>397</v>
      </c>
      <c r="H30" s="20">
        <v>4</v>
      </c>
      <c r="I30" s="20" t="s">
        <v>398</v>
      </c>
      <c r="J30" s="18">
        <v>10</v>
      </c>
      <c r="K30" s="18">
        <v>10</v>
      </c>
      <c r="L30" s="18">
        <v>10</v>
      </c>
      <c r="M30" s="18" t="s">
        <v>13</v>
      </c>
      <c r="N30" s="16"/>
    </row>
    <row r="31" spans="2:15" ht="24.95" customHeight="1">
      <c r="B31" s="15">
        <v>22</v>
      </c>
      <c r="C31" s="22" t="s">
        <v>437</v>
      </c>
      <c r="D31" s="38" t="s">
        <v>57</v>
      </c>
      <c r="E31" s="39" t="s">
        <v>36</v>
      </c>
      <c r="F31" s="20" t="s">
        <v>414</v>
      </c>
      <c r="G31" s="20" t="s">
        <v>397</v>
      </c>
      <c r="H31" s="20">
        <v>4</v>
      </c>
      <c r="I31" s="20" t="s">
        <v>398</v>
      </c>
      <c r="J31" s="18">
        <v>10</v>
      </c>
      <c r="K31" s="18">
        <v>10</v>
      </c>
      <c r="L31" s="18">
        <v>9</v>
      </c>
      <c r="M31" s="18" t="s">
        <v>13</v>
      </c>
      <c r="N31" s="16" t="str">
        <f t="shared" si="0"/>
        <v/>
      </c>
    </row>
    <row r="32" spans="2:15" ht="24.95" customHeight="1">
      <c r="B32" s="15">
        <v>23</v>
      </c>
      <c r="C32" s="22" t="s">
        <v>438</v>
      </c>
      <c r="D32" s="38" t="s">
        <v>439</v>
      </c>
      <c r="E32" s="39" t="s">
        <v>36</v>
      </c>
      <c r="F32" s="20" t="s">
        <v>40</v>
      </c>
      <c r="G32" s="20" t="s">
        <v>397</v>
      </c>
      <c r="H32" s="20">
        <v>4</v>
      </c>
      <c r="I32" s="20" t="s">
        <v>398</v>
      </c>
      <c r="J32" s="18">
        <v>9.5</v>
      </c>
      <c r="K32" s="18">
        <v>10</v>
      </c>
      <c r="L32" s="18">
        <v>8.5</v>
      </c>
      <c r="M32" s="18" t="s">
        <v>13</v>
      </c>
      <c r="N32" s="16"/>
    </row>
    <row r="33" spans="2:15" ht="24.95" customHeight="1">
      <c r="B33" s="15">
        <v>24</v>
      </c>
      <c r="C33" s="22" t="s">
        <v>440</v>
      </c>
      <c r="D33" s="38" t="s">
        <v>310</v>
      </c>
      <c r="E33" s="39" t="s">
        <v>135</v>
      </c>
      <c r="F33" s="20" t="s">
        <v>414</v>
      </c>
      <c r="G33" s="20" t="s">
        <v>397</v>
      </c>
      <c r="H33" s="20">
        <v>4</v>
      </c>
      <c r="I33" s="20" t="s">
        <v>398</v>
      </c>
      <c r="J33" s="18">
        <v>10</v>
      </c>
      <c r="K33" s="18">
        <v>10</v>
      </c>
      <c r="L33" s="18">
        <v>9.5</v>
      </c>
      <c r="M33" s="18" t="s">
        <v>13</v>
      </c>
      <c r="N33" s="16" t="str">
        <f t="shared" si="0"/>
        <v/>
      </c>
    </row>
    <row r="34" spans="2:15" ht="24.95" customHeight="1">
      <c r="B34" s="15">
        <v>25</v>
      </c>
      <c r="C34" s="22" t="s">
        <v>441</v>
      </c>
      <c r="D34" s="38" t="s">
        <v>442</v>
      </c>
      <c r="E34" s="39" t="s">
        <v>135</v>
      </c>
      <c r="F34" s="20" t="s">
        <v>420</v>
      </c>
      <c r="G34" s="20" t="s">
        <v>397</v>
      </c>
      <c r="H34" s="20">
        <v>4</v>
      </c>
      <c r="I34" s="20" t="s">
        <v>398</v>
      </c>
      <c r="J34" s="18">
        <v>10</v>
      </c>
      <c r="K34" s="18">
        <v>9.5</v>
      </c>
      <c r="L34" s="18">
        <v>9</v>
      </c>
      <c r="M34" s="18" t="s">
        <v>13</v>
      </c>
      <c r="N34" s="16" t="str">
        <f t="shared" si="0"/>
        <v/>
      </c>
    </row>
    <row r="35" spans="2:15" ht="24.95" customHeight="1">
      <c r="B35" s="15">
        <v>26</v>
      </c>
      <c r="C35" s="22" t="s">
        <v>443</v>
      </c>
      <c r="D35" s="38" t="s">
        <v>76</v>
      </c>
      <c r="E35" s="39" t="s">
        <v>135</v>
      </c>
      <c r="F35" s="20" t="s">
        <v>444</v>
      </c>
      <c r="G35" s="20" t="s">
        <v>397</v>
      </c>
      <c r="H35" s="20">
        <v>4</v>
      </c>
      <c r="I35" s="20" t="s">
        <v>398</v>
      </c>
      <c r="J35" s="18">
        <v>9.5</v>
      </c>
      <c r="K35" s="18">
        <v>10</v>
      </c>
      <c r="L35" s="18">
        <v>8.5</v>
      </c>
      <c r="M35" s="18" t="s">
        <v>13</v>
      </c>
      <c r="N35" s="16"/>
    </row>
    <row r="36" spans="2:15" ht="24.95" customHeight="1">
      <c r="B36" s="15">
        <v>27</v>
      </c>
      <c r="C36" s="22" t="s">
        <v>445</v>
      </c>
      <c r="D36" s="38" t="s">
        <v>430</v>
      </c>
      <c r="E36" s="39" t="s">
        <v>136</v>
      </c>
      <c r="F36" s="20" t="s">
        <v>38</v>
      </c>
      <c r="G36" s="20" t="s">
        <v>397</v>
      </c>
      <c r="H36" s="20">
        <v>4</v>
      </c>
      <c r="I36" s="20" t="s">
        <v>398</v>
      </c>
      <c r="J36" s="18">
        <v>10</v>
      </c>
      <c r="K36" s="18">
        <v>9.5</v>
      </c>
      <c r="L36" s="18">
        <v>9.5</v>
      </c>
      <c r="M36" s="18" t="s">
        <v>13</v>
      </c>
      <c r="N36" s="16"/>
    </row>
    <row r="37" spans="2:15" ht="24.95" customHeight="1">
      <c r="B37" s="15">
        <v>28</v>
      </c>
      <c r="C37" s="22" t="s">
        <v>446</v>
      </c>
      <c r="D37" s="38" t="s">
        <v>184</v>
      </c>
      <c r="E37" s="39" t="s">
        <v>185</v>
      </c>
      <c r="F37" s="20" t="s">
        <v>52</v>
      </c>
      <c r="G37" s="20" t="s">
        <v>397</v>
      </c>
      <c r="H37" s="20">
        <v>4</v>
      </c>
      <c r="I37" s="20" t="s">
        <v>398</v>
      </c>
      <c r="J37" s="18">
        <v>10</v>
      </c>
      <c r="K37" s="18">
        <v>10</v>
      </c>
      <c r="L37" s="18">
        <v>10</v>
      </c>
      <c r="M37" s="18" t="s">
        <v>13</v>
      </c>
      <c r="N37" s="16" t="str">
        <f t="shared" si="0"/>
        <v/>
      </c>
      <c r="O37" s="52">
        <v>0.25</v>
      </c>
    </row>
    <row r="38" spans="2:15" ht="24.95" customHeight="1">
      <c r="B38" s="15">
        <v>29</v>
      </c>
      <c r="C38" s="22" t="s">
        <v>447</v>
      </c>
      <c r="D38" s="38" t="s">
        <v>448</v>
      </c>
      <c r="E38" s="39" t="s">
        <v>39</v>
      </c>
      <c r="F38" s="20" t="s">
        <v>40</v>
      </c>
      <c r="G38" s="20" t="s">
        <v>397</v>
      </c>
      <c r="H38" s="20">
        <v>4</v>
      </c>
      <c r="I38" s="20" t="s">
        <v>398</v>
      </c>
      <c r="J38" s="18">
        <v>10</v>
      </c>
      <c r="K38" s="18">
        <v>10</v>
      </c>
      <c r="L38" s="18">
        <v>9.5</v>
      </c>
      <c r="M38" s="18" t="s">
        <v>13</v>
      </c>
      <c r="N38" s="16" t="str">
        <f t="shared" si="0"/>
        <v/>
      </c>
    </row>
    <row r="39" spans="2:15" ht="24.95" customHeight="1">
      <c r="B39" s="15">
        <v>30</v>
      </c>
      <c r="C39" s="21" t="s">
        <v>449</v>
      </c>
      <c r="D39" s="36" t="s">
        <v>241</v>
      </c>
      <c r="E39" s="37" t="s">
        <v>39</v>
      </c>
      <c r="F39" s="19" t="s">
        <v>450</v>
      </c>
      <c r="G39" s="19" t="s">
        <v>397</v>
      </c>
      <c r="H39" s="19">
        <v>4</v>
      </c>
      <c r="I39" s="19" t="s">
        <v>398</v>
      </c>
      <c r="J39" s="17">
        <v>10</v>
      </c>
      <c r="K39" s="17">
        <v>10</v>
      </c>
      <c r="L39" s="17">
        <v>8.5</v>
      </c>
      <c r="M39" s="17" t="s">
        <v>13</v>
      </c>
      <c r="N39" s="14" t="str">
        <f>+IF(OR($J39=0,$K39=0,$L39=0,$M39=0),"Không đủ ĐKDT","")</f>
        <v/>
      </c>
    </row>
    <row r="40" spans="2:15" ht="24.95" customHeight="1">
      <c r="B40" s="15">
        <v>31</v>
      </c>
      <c r="C40" s="22" t="s">
        <v>451</v>
      </c>
      <c r="D40" s="38" t="s">
        <v>74</v>
      </c>
      <c r="E40" s="39" t="s">
        <v>39</v>
      </c>
      <c r="F40" s="20" t="s">
        <v>405</v>
      </c>
      <c r="G40" s="20" t="s">
        <v>397</v>
      </c>
      <c r="H40" s="20">
        <v>4</v>
      </c>
      <c r="I40" s="20" t="s">
        <v>398</v>
      </c>
      <c r="J40" s="18">
        <v>10</v>
      </c>
      <c r="K40" s="18">
        <v>10</v>
      </c>
      <c r="L40" s="18">
        <v>10</v>
      </c>
      <c r="M40" s="18" t="s">
        <v>13</v>
      </c>
      <c r="N40" s="16"/>
    </row>
    <row r="41" spans="2:15" ht="24.95" customHeight="1">
      <c r="B41" s="15">
        <v>32</v>
      </c>
      <c r="C41" s="22" t="s">
        <v>452</v>
      </c>
      <c r="D41" s="38" t="s">
        <v>119</v>
      </c>
      <c r="E41" s="39" t="s">
        <v>44</v>
      </c>
      <c r="F41" s="20" t="s">
        <v>405</v>
      </c>
      <c r="G41" s="20" t="s">
        <v>397</v>
      </c>
      <c r="H41" s="20">
        <v>4</v>
      </c>
      <c r="I41" s="20" t="s">
        <v>398</v>
      </c>
      <c r="J41" s="18">
        <v>9</v>
      </c>
      <c r="K41" s="18">
        <v>9.5</v>
      </c>
      <c r="L41" s="18">
        <v>9</v>
      </c>
      <c r="M41" s="18" t="s">
        <v>13</v>
      </c>
      <c r="N41" s="16"/>
    </row>
    <row r="42" spans="2:15" ht="24.95" customHeight="1">
      <c r="B42" s="15">
        <v>33</v>
      </c>
      <c r="C42" s="22" t="s">
        <v>453</v>
      </c>
      <c r="D42" s="38" t="s">
        <v>157</v>
      </c>
      <c r="E42" s="39" t="s">
        <v>44</v>
      </c>
      <c r="F42" s="20" t="s">
        <v>444</v>
      </c>
      <c r="G42" s="20" t="s">
        <v>397</v>
      </c>
      <c r="H42" s="20">
        <v>4</v>
      </c>
      <c r="I42" s="20" t="s">
        <v>398</v>
      </c>
      <c r="J42" s="18">
        <v>9</v>
      </c>
      <c r="K42" s="18">
        <v>9.5</v>
      </c>
      <c r="L42" s="18">
        <v>8</v>
      </c>
      <c r="M42" s="18" t="s">
        <v>13</v>
      </c>
      <c r="N42" s="16"/>
    </row>
    <row r="43" spans="2:15" ht="24.95" customHeight="1">
      <c r="B43" s="15">
        <v>34</v>
      </c>
      <c r="C43" s="22" t="s">
        <v>454</v>
      </c>
      <c r="D43" s="38" t="s">
        <v>455</v>
      </c>
      <c r="E43" s="39" t="s">
        <v>44</v>
      </c>
      <c r="F43" s="20" t="s">
        <v>456</v>
      </c>
      <c r="G43" s="20" t="s">
        <v>397</v>
      </c>
      <c r="H43" s="20">
        <v>4</v>
      </c>
      <c r="I43" s="20" t="s">
        <v>398</v>
      </c>
      <c r="J43" s="18">
        <v>9.5</v>
      </c>
      <c r="K43" s="18">
        <v>10</v>
      </c>
      <c r="L43" s="18">
        <v>10</v>
      </c>
      <c r="M43" s="18" t="s">
        <v>13</v>
      </c>
      <c r="N43" s="16"/>
    </row>
    <row r="44" spans="2:15" ht="24.95" customHeight="1">
      <c r="B44" s="15">
        <v>35</v>
      </c>
      <c r="C44" s="22" t="s">
        <v>457</v>
      </c>
      <c r="D44" s="38" t="s">
        <v>88</v>
      </c>
      <c r="E44" s="39" t="s">
        <v>188</v>
      </c>
      <c r="F44" s="20" t="s">
        <v>458</v>
      </c>
      <c r="G44" s="20" t="s">
        <v>397</v>
      </c>
      <c r="H44" s="20">
        <v>4</v>
      </c>
      <c r="I44" s="20" t="s">
        <v>398</v>
      </c>
      <c r="J44" s="18">
        <v>9</v>
      </c>
      <c r="K44" s="18">
        <v>10</v>
      </c>
      <c r="L44" s="18">
        <v>7.5</v>
      </c>
      <c r="M44" s="18" t="s">
        <v>13</v>
      </c>
      <c r="N44" s="16"/>
    </row>
    <row r="45" spans="2:15" ht="24.95" customHeight="1">
      <c r="B45" s="15">
        <v>36</v>
      </c>
      <c r="C45" s="22" t="s">
        <v>459</v>
      </c>
      <c r="D45" s="38" t="s">
        <v>139</v>
      </c>
      <c r="E45" s="39" t="s">
        <v>188</v>
      </c>
      <c r="F45" s="20" t="s">
        <v>405</v>
      </c>
      <c r="G45" s="20" t="s">
        <v>397</v>
      </c>
      <c r="H45" s="20">
        <v>4</v>
      </c>
      <c r="I45" s="20" t="s">
        <v>398</v>
      </c>
      <c r="J45" s="18">
        <v>9</v>
      </c>
      <c r="K45" s="18">
        <v>9.5</v>
      </c>
      <c r="L45" s="18">
        <v>8.5</v>
      </c>
      <c r="M45" s="18" t="s">
        <v>13</v>
      </c>
      <c r="N45" s="16"/>
    </row>
    <row r="46" spans="2:15" ht="24.95" customHeight="1">
      <c r="B46" s="15">
        <v>37</v>
      </c>
      <c r="C46" s="22" t="s">
        <v>460</v>
      </c>
      <c r="D46" s="38" t="s">
        <v>32</v>
      </c>
      <c r="E46" s="39" t="s">
        <v>47</v>
      </c>
      <c r="F46" s="20" t="s">
        <v>40</v>
      </c>
      <c r="G46" s="20" t="s">
        <v>397</v>
      </c>
      <c r="H46" s="20">
        <v>4</v>
      </c>
      <c r="I46" s="20" t="s">
        <v>398</v>
      </c>
      <c r="J46" s="18">
        <v>9.5</v>
      </c>
      <c r="K46" s="18">
        <v>10</v>
      </c>
      <c r="L46" s="18">
        <v>8</v>
      </c>
      <c r="M46" s="18" t="s">
        <v>13</v>
      </c>
      <c r="N46" s="16"/>
    </row>
    <row r="47" spans="2:15" ht="24.95" customHeight="1">
      <c r="B47" s="15">
        <v>38</v>
      </c>
      <c r="C47" s="22" t="s">
        <v>461</v>
      </c>
      <c r="D47" s="38" t="s">
        <v>119</v>
      </c>
      <c r="E47" s="39" t="s">
        <v>49</v>
      </c>
      <c r="F47" s="20" t="s">
        <v>52</v>
      </c>
      <c r="G47" s="20" t="s">
        <v>397</v>
      </c>
      <c r="H47" s="20">
        <v>4</v>
      </c>
      <c r="I47" s="20" t="s">
        <v>398</v>
      </c>
      <c r="J47" s="18">
        <v>10</v>
      </c>
      <c r="K47" s="18">
        <v>10</v>
      </c>
      <c r="L47" s="18">
        <v>9.5</v>
      </c>
      <c r="M47" s="18" t="s">
        <v>13</v>
      </c>
      <c r="N47" s="16" t="str">
        <f t="shared" ref="N47:N64" si="1">+IF(OR($J47=0,$K47=0,$L47=0,$M47=0),"Không đủ ĐKDT","")</f>
        <v/>
      </c>
    </row>
    <row r="48" spans="2:15" ht="24.95" customHeight="1">
      <c r="B48" s="15">
        <v>39</v>
      </c>
      <c r="C48" s="22" t="s">
        <v>462</v>
      </c>
      <c r="D48" s="38" t="s">
        <v>463</v>
      </c>
      <c r="E48" s="39" t="s">
        <v>253</v>
      </c>
      <c r="F48" s="20" t="s">
        <v>405</v>
      </c>
      <c r="G48" s="20" t="s">
        <v>397</v>
      </c>
      <c r="H48" s="20">
        <v>4</v>
      </c>
      <c r="I48" s="20" t="s">
        <v>398</v>
      </c>
      <c r="J48" s="18">
        <v>10</v>
      </c>
      <c r="K48" s="18">
        <v>10</v>
      </c>
      <c r="L48" s="18">
        <v>8.5</v>
      </c>
      <c r="M48" s="18" t="s">
        <v>13</v>
      </c>
      <c r="N48" s="16" t="str">
        <f t="shared" si="1"/>
        <v/>
      </c>
    </row>
    <row r="49" spans="2:15" ht="24.95" customHeight="1">
      <c r="B49" s="15">
        <v>40</v>
      </c>
      <c r="C49" s="22" t="s">
        <v>464</v>
      </c>
      <c r="D49" s="38" t="s">
        <v>442</v>
      </c>
      <c r="E49" s="39" t="s">
        <v>53</v>
      </c>
      <c r="F49" s="20" t="s">
        <v>82</v>
      </c>
      <c r="G49" s="20" t="s">
        <v>397</v>
      </c>
      <c r="H49" s="20">
        <v>4</v>
      </c>
      <c r="I49" s="20" t="s">
        <v>398</v>
      </c>
      <c r="J49" s="18">
        <v>10</v>
      </c>
      <c r="K49" s="18">
        <v>10</v>
      </c>
      <c r="L49" s="18">
        <v>10</v>
      </c>
      <c r="M49" s="18" t="s">
        <v>13</v>
      </c>
      <c r="N49" s="16" t="s">
        <v>2848</v>
      </c>
    </row>
    <row r="50" spans="2:15" ht="24.95" customHeight="1">
      <c r="B50" s="15">
        <v>41</v>
      </c>
      <c r="C50" s="22" t="s">
        <v>465</v>
      </c>
      <c r="D50" s="38" t="s">
        <v>466</v>
      </c>
      <c r="E50" s="39" t="s">
        <v>56</v>
      </c>
      <c r="F50" s="20" t="s">
        <v>30</v>
      </c>
      <c r="G50" s="20" t="s">
        <v>397</v>
      </c>
      <c r="H50" s="20">
        <v>4</v>
      </c>
      <c r="I50" s="20" t="s">
        <v>398</v>
      </c>
      <c r="J50" s="18">
        <v>10</v>
      </c>
      <c r="K50" s="18">
        <v>10</v>
      </c>
      <c r="L50" s="18">
        <v>8</v>
      </c>
      <c r="M50" s="18" t="s">
        <v>13</v>
      </c>
      <c r="N50" s="16" t="str">
        <f t="shared" si="1"/>
        <v/>
      </c>
    </row>
    <row r="51" spans="2:15" ht="24.95" customHeight="1">
      <c r="B51" s="15">
        <v>42</v>
      </c>
      <c r="C51" s="22" t="s">
        <v>467</v>
      </c>
      <c r="D51" s="38" t="s">
        <v>169</v>
      </c>
      <c r="E51" s="39" t="s">
        <v>58</v>
      </c>
      <c r="F51" s="20" t="s">
        <v>468</v>
      </c>
      <c r="G51" s="20" t="s">
        <v>397</v>
      </c>
      <c r="H51" s="20">
        <v>4</v>
      </c>
      <c r="I51" s="20" t="s">
        <v>398</v>
      </c>
      <c r="J51" s="18">
        <v>10</v>
      </c>
      <c r="K51" s="18">
        <v>10</v>
      </c>
      <c r="L51" s="18">
        <v>9</v>
      </c>
      <c r="M51" s="18" t="s">
        <v>13</v>
      </c>
      <c r="N51" s="16"/>
    </row>
    <row r="52" spans="2:15" ht="24.95" customHeight="1">
      <c r="B52" s="15">
        <v>43</v>
      </c>
      <c r="C52" s="22" t="s">
        <v>469</v>
      </c>
      <c r="D52" s="38" t="s">
        <v>357</v>
      </c>
      <c r="E52" s="39" t="s">
        <v>65</v>
      </c>
      <c r="F52" s="20" t="s">
        <v>444</v>
      </c>
      <c r="G52" s="20" t="s">
        <v>397</v>
      </c>
      <c r="H52" s="20">
        <v>4</v>
      </c>
      <c r="I52" s="20" t="s">
        <v>398</v>
      </c>
      <c r="J52" s="18">
        <v>9.5</v>
      </c>
      <c r="K52" s="18">
        <v>10</v>
      </c>
      <c r="L52" s="18">
        <v>9</v>
      </c>
      <c r="M52" s="18" t="s">
        <v>13</v>
      </c>
      <c r="N52" s="16"/>
    </row>
    <row r="53" spans="2:15" ht="24.95" customHeight="1">
      <c r="B53" s="15">
        <v>44</v>
      </c>
      <c r="C53" s="22" t="s">
        <v>470</v>
      </c>
      <c r="D53" s="38" t="s">
        <v>471</v>
      </c>
      <c r="E53" s="39" t="s">
        <v>67</v>
      </c>
      <c r="F53" s="20" t="s">
        <v>420</v>
      </c>
      <c r="G53" s="20" t="s">
        <v>397</v>
      </c>
      <c r="H53" s="20">
        <v>4</v>
      </c>
      <c r="I53" s="20" t="s">
        <v>398</v>
      </c>
      <c r="J53" s="18">
        <v>10</v>
      </c>
      <c r="K53" s="18">
        <v>10</v>
      </c>
      <c r="L53" s="18">
        <v>8</v>
      </c>
      <c r="M53" s="18" t="s">
        <v>13</v>
      </c>
      <c r="N53" s="16" t="str">
        <f t="shared" si="1"/>
        <v/>
      </c>
    </row>
    <row r="54" spans="2:15" ht="24.95" customHeight="1">
      <c r="B54" s="15">
        <v>45</v>
      </c>
      <c r="C54" s="22" t="s">
        <v>472</v>
      </c>
      <c r="D54" s="38" t="s">
        <v>227</v>
      </c>
      <c r="E54" s="39" t="s">
        <v>473</v>
      </c>
      <c r="F54" s="20" t="s">
        <v>43</v>
      </c>
      <c r="G54" s="20" t="s">
        <v>397</v>
      </c>
      <c r="H54" s="20">
        <v>4</v>
      </c>
      <c r="I54" s="20" t="s">
        <v>398</v>
      </c>
      <c r="J54" s="18">
        <v>9.5</v>
      </c>
      <c r="K54" s="18">
        <v>8.5</v>
      </c>
      <c r="L54" s="18">
        <v>9.5</v>
      </c>
      <c r="M54" s="18" t="s">
        <v>13</v>
      </c>
      <c r="N54" s="16"/>
    </row>
    <row r="55" spans="2:15" ht="24.95" customHeight="1">
      <c r="B55" s="15">
        <v>46</v>
      </c>
      <c r="C55" s="22" t="s">
        <v>474</v>
      </c>
      <c r="D55" s="38" t="s">
        <v>70</v>
      </c>
      <c r="E55" s="39" t="s">
        <v>71</v>
      </c>
      <c r="F55" s="20" t="s">
        <v>420</v>
      </c>
      <c r="G55" s="20" t="s">
        <v>397</v>
      </c>
      <c r="H55" s="20">
        <v>4</v>
      </c>
      <c r="I55" s="20" t="s">
        <v>398</v>
      </c>
      <c r="J55" s="18">
        <v>10</v>
      </c>
      <c r="K55" s="18">
        <v>10</v>
      </c>
      <c r="L55" s="18">
        <v>10</v>
      </c>
      <c r="M55" s="18" t="s">
        <v>13</v>
      </c>
      <c r="N55" s="16" t="str">
        <f t="shared" si="1"/>
        <v/>
      </c>
      <c r="O55" s="52">
        <v>0.3</v>
      </c>
    </row>
    <row r="56" spans="2:15" ht="24.95" customHeight="1">
      <c r="B56" s="15">
        <v>47</v>
      </c>
      <c r="C56" s="22" t="s">
        <v>475</v>
      </c>
      <c r="D56" s="38" t="s">
        <v>70</v>
      </c>
      <c r="E56" s="39" t="s">
        <v>71</v>
      </c>
      <c r="F56" s="20" t="s">
        <v>38</v>
      </c>
      <c r="G56" s="20" t="s">
        <v>397</v>
      </c>
      <c r="H56" s="20">
        <v>4</v>
      </c>
      <c r="I56" s="20" t="s">
        <v>398</v>
      </c>
      <c r="J56" s="18">
        <v>9.5</v>
      </c>
      <c r="K56" s="18">
        <v>9.5</v>
      </c>
      <c r="L56" s="18">
        <v>8</v>
      </c>
      <c r="M56" s="18" t="s">
        <v>13</v>
      </c>
      <c r="N56" s="16"/>
    </row>
    <row r="57" spans="2:15" ht="24.95" customHeight="1">
      <c r="B57" s="15">
        <v>48</v>
      </c>
      <c r="C57" s="22" t="s">
        <v>476</v>
      </c>
      <c r="D57" s="38" t="s">
        <v>154</v>
      </c>
      <c r="E57" s="39" t="s">
        <v>72</v>
      </c>
      <c r="F57" s="20" t="s">
        <v>43</v>
      </c>
      <c r="G57" s="20" t="s">
        <v>397</v>
      </c>
      <c r="H57" s="20">
        <v>4</v>
      </c>
      <c r="I57" s="20" t="s">
        <v>398</v>
      </c>
      <c r="J57" s="18">
        <v>10</v>
      </c>
      <c r="K57" s="18">
        <v>10</v>
      </c>
      <c r="L57" s="18">
        <v>10</v>
      </c>
      <c r="M57" s="18" t="s">
        <v>13</v>
      </c>
      <c r="N57" s="16"/>
    </row>
    <row r="58" spans="2:15" ht="24.95" customHeight="1">
      <c r="B58" s="15">
        <v>49</v>
      </c>
      <c r="C58" s="22" t="s">
        <v>477</v>
      </c>
      <c r="D58" s="38" t="s">
        <v>385</v>
      </c>
      <c r="E58" s="39" t="s">
        <v>72</v>
      </c>
      <c r="F58" s="20" t="s">
        <v>478</v>
      </c>
      <c r="G58" s="20" t="s">
        <v>397</v>
      </c>
      <c r="H58" s="20">
        <v>4</v>
      </c>
      <c r="I58" s="20" t="s">
        <v>398</v>
      </c>
      <c r="J58" s="18">
        <v>10</v>
      </c>
      <c r="K58" s="18">
        <v>9</v>
      </c>
      <c r="L58" s="18">
        <v>8.5</v>
      </c>
      <c r="M58" s="18" t="s">
        <v>13</v>
      </c>
      <c r="N58" s="16"/>
    </row>
    <row r="59" spans="2:15" ht="24.95" customHeight="1">
      <c r="B59" s="15">
        <v>50</v>
      </c>
      <c r="C59" s="22" t="s">
        <v>479</v>
      </c>
      <c r="D59" s="38" t="s">
        <v>480</v>
      </c>
      <c r="E59" s="39" t="s">
        <v>72</v>
      </c>
      <c r="F59" s="20" t="s">
        <v>481</v>
      </c>
      <c r="G59" s="20" t="s">
        <v>397</v>
      </c>
      <c r="H59" s="20">
        <v>4</v>
      </c>
      <c r="I59" s="20" t="s">
        <v>398</v>
      </c>
      <c r="J59" s="18">
        <v>7</v>
      </c>
      <c r="K59" s="18">
        <v>5</v>
      </c>
      <c r="L59" s="18">
        <v>8</v>
      </c>
      <c r="M59" s="18" t="s">
        <v>13</v>
      </c>
      <c r="N59" s="16"/>
    </row>
    <row r="60" spans="2:15" ht="24.95" customHeight="1">
      <c r="B60" s="15">
        <v>51</v>
      </c>
      <c r="C60" s="22" t="s">
        <v>482</v>
      </c>
      <c r="D60" s="38" t="s">
        <v>256</v>
      </c>
      <c r="E60" s="39" t="s">
        <v>483</v>
      </c>
      <c r="F60" s="20" t="s">
        <v>30</v>
      </c>
      <c r="G60" s="20" t="s">
        <v>397</v>
      </c>
      <c r="H60" s="20">
        <v>4</v>
      </c>
      <c r="I60" s="20" t="s">
        <v>398</v>
      </c>
      <c r="J60" s="18">
        <v>10</v>
      </c>
      <c r="K60" s="18">
        <v>10</v>
      </c>
      <c r="L60" s="18">
        <v>9.5</v>
      </c>
      <c r="M60" s="18" t="s">
        <v>13</v>
      </c>
      <c r="N60" s="16" t="str">
        <f t="shared" si="1"/>
        <v/>
      </c>
    </row>
    <row r="61" spans="2:15" ht="24.95" customHeight="1">
      <c r="B61" s="15">
        <v>52</v>
      </c>
      <c r="C61" s="22" t="s">
        <v>484</v>
      </c>
      <c r="D61" s="38" t="s">
        <v>191</v>
      </c>
      <c r="E61" s="39" t="s">
        <v>192</v>
      </c>
      <c r="F61" s="20" t="s">
        <v>43</v>
      </c>
      <c r="G61" s="20" t="s">
        <v>397</v>
      </c>
      <c r="H61" s="20">
        <v>4</v>
      </c>
      <c r="I61" s="20" t="s">
        <v>398</v>
      </c>
      <c r="J61" s="18">
        <v>10</v>
      </c>
      <c r="K61" s="18">
        <v>10</v>
      </c>
      <c r="L61" s="18">
        <v>9.5</v>
      </c>
      <c r="M61" s="18" t="s">
        <v>13</v>
      </c>
      <c r="N61" s="16" t="str">
        <f t="shared" si="1"/>
        <v/>
      </c>
    </row>
    <row r="62" spans="2:15" ht="24.95" customHeight="1">
      <c r="B62" s="15">
        <v>53</v>
      </c>
      <c r="C62" s="22" t="s">
        <v>485</v>
      </c>
      <c r="D62" s="38" t="s">
        <v>201</v>
      </c>
      <c r="E62" s="39" t="s">
        <v>351</v>
      </c>
      <c r="F62" s="20" t="s">
        <v>444</v>
      </c>
      <c r="G62" s="20" t="s">
        <v>397</v>
      </c>
      <c r="H62" s="20">
        <v>4</v>
      </c>
      <c r="I62" s="20" t="s">
        <v>398</v>
      </c>
      <c r="J62" s="18">
        <v>10</v>
      </c>
      <c r="K62" s="18">
        <v>10</v>
      </c>
      <c r="L62" s="18">
        <v>9</v>
      </c>
      <c r="M62" s="18" t="s">
        <v>13</v>
      </c>
      <c r="N62" s="16" t="str">
        <f t="shared" si="1"/>
        <v/>
      </c>
    </row>
    <row r="63" spans="2:15" ht="24.95" customHeight="1">
      <c r="B63" s="15">
        <v>54</v>
      </c>
      <c r="C63" s="22" t="s">
        <v>486</v>
      </c>
      <c r="D63" s="38" t="s">
        <v>55</v>
      </c>
      <c r="E63" s="39" t="s">
        <v>75</v>
      </c>
      <c r="F63" s="20" t="s">
        <v>410</v>
      </c>
      <c r="G63" s="20" t="s">
        <v>397</v>
      </c>
      <c r="H63" s="20">
        <v>4</v>
      </c>
      <c r="I63" s="20" t="s">
        <v>398</v>
      </c>
      <c r="J63" s="18">
        <v>10</v>
      </c>
      <c r="K63" s="18">
        <v>10</v>
      </c>
      <c r="L63" s="18">
        <v>10</v>
      </c>
      <c r="M63" s="18" t="s">
        <v>13</v>
      </c>
      <c r="N63" s="16" t="str">
        <f t="shared" si="1"/>
        <v/>
      </c>
    </row>
    <row r="64" spans="2:15" ht="24.95" customHeight="1">
      <c r="B64" s="15">
        <v>55</v>
      </c>
      <c r="C64" s="22" t="s">
        <v>487</v>
      </c>
      <c r="D64" s="38" t="s">
        <v>193</v>
      </c>
      <c r="E64" s="39" t="s">
        <v>75</v>
      </c>
      <c r="F64" s="20" t="s">
        <v>30</v>
      </c>
      <c r="G64" s="20" t="s">
        <v>397</v>
      </c>
      <c r="H64" s="20">
        <v>4</v>
      </c>
      <c r="I64" s="20" t="s">
        <v>398</v>
      </c>
      <c r="J64" s="18">
        <v>10</v>
      </c>
      <c r="K64" s="18">
        <v>10</v>
      </c>
      <c r="L64" s="18">
        <v>9</v>
      </c>
      <c r="M64" s="18" t="s">
        <v>13</v>
      </c>
      <c r="N64" s="16" t="str">
        <f t="shared" si="1"/>
        <v/>
      </c>
    </row>
    <row r="65" spans="2:14" ht="24.95" customHeight="1">
      <c r="B65" s="15">
        <v>56</v>
      </c>
      <c r="C65" s="22" t="s">
        <v>488</v>
      </c>
      <c r="D65" s="38" t="s">
        <v>489</v>
      </c>
      <c r="E65" s="39" t="s">
        <v>75</v>
      </c>
      <c r="F65" s="20" t="s">
        <v>410</v>
      </c>
      <c r="G65" s="20" t="s">
        <v>397</v>
      </c>
      <c r="H65" s="20">
        <v>4</v>
      </c>
      <c r="I65" s="20" t="s">
        <v>398</v>
      </c>
      <c r="J65" s="18">
        <v>8.5</v>
      </c>
      <c r="K65" s="18">
        <v>10</v>
      </c>
      <c r="L65" s="18">
        <v>10</v>
      </c>
      <c r="M65" s="18" t="s">
        <v>13</v>
      </c>
      <c r="N65" s="16"/>
    </row>
    <row r="66" spans="2:14" ht="24.95" customHeight="1">
      <c r="B66" s="15">
        <v>57</v>
      </c>
      <c r="C66" s="22" t="s">
        <v>490</v>
      </c>
      <c r="D66" s="38" t="s">
        <v>79</v>
      </c>
      <c r="E66" s="39" t="s">
        <v>80</v>
      </c>
      <c r="F66" s="20" t="s">
        <v>414</v>
      </c>
      <c r="G66" s="20" t="s">
        <v>397</v>
      </c>
      <c r="H66" s="20">
        <v>4</v>
      </c>
      <c r="I66" s="20" t="s">
        <v>398</v>
      </c>
      <c r="J66" s="18">
        <v>10</v>
      </c>
      <c r="K66" s="18">
        <v>10</v>
      </c>
      <c r="L66" s="18">
        <v>10</v>
      </c>
      <c r="M66" s="18" t="s">
        <v>13</v>
      </c>
      <c r="N66" s="16"/>
    </row>
    <row r="67" spans="2:14" ht="24.95" customHeight="1">
      <c r="B67" s="15">
        <v>58</v>
      </c>
      <c r="C67" s="22" t="s">
        <v>491</v>
      </c>
      <c r="D67" s="38" t="s">
        <v>218</v>
      </c>
      <c r="E67" s="39" t="s">
        <v>147</v>
      </c>
      <c r="F67" s="20" t="s">
        <v>82</v>
      </c>
      <c r="G67" s="20" t="s">
        <v>397</v>
      </c>
      <c r="H67" s="20">
        <v>4</v>
      </c>
      <c r="I67" s="20" t="s">
        <v>398</v>
      </c>
      <c r="J67" s="18">
        <v>10</v>
      </c>
      <c r="K67" s="18">
        <v>10</v>
      </c>
      <c r="L67" s="18">
        <v>10</v>
      </c>
      <c r="M67" s="18"/>
      <c r="N67" s="16"/>
    </row>
    <row r="68" spans="2:14" ht="24.95" customHeight="1">
      <c r="B68" s="15">
        <v>59</v>
      </c>
      <c r="C68" s="21" t="s">
        <v>492</v>
      </c>
      <c r="D68" s="36" t="s">
        <v>258</v>
      </c>
      <c r="E68" s="37" t="s">
        <v>259</v>
      </c>
      <c r="F68" s="19" t="s">
        <v>456</v>
      </c>
      <c r="G68" s="19" t="s">
        <v>397</v>
      </c>
      <c r="H68" s="19">
        <v>4</v>
      </c>
      <c r="I68" s="19" t="s">
        <v>398</v>
      </c>
      <c r="J68" s="17">
        <v>10</v>
      </c>
      <c r="K68" s="17">
        <v>9.5</v>
      </c>
      <c r="L68" s="17">
        <v>10</v>
      </c>
      <c r="M68" s="17" t="s">
        <v>13</v>
      </c>
      <c r="N68" s="14" t="str">
        <f>+IF(OR($J68=0,$K68=0,$L68=0,$M68=0),"Không đủ ĐKDT","")</f>
        <v/>
      </c>
    </row>
    <row r="69" spans="2:14" ht="24.95" customHeight="1">
      <c r="B69" s="15">
        <v>60</v>
      </c>
      <c r="C69" s="22" t="s">
        <v>493</v>
      </c>
      <c r="D69" s="38" t="s">
        <v>41</v>
      </c>
      <c r="E69" s="39" t="s">
        <v>260</v>
      </c>
      <c r="F69" s="20" t="s">
        <v>52</v>
      </c>
      <c r="G69" s="20" t="s">
        <v>397</v>
      </c>
      <c r="H69" s="20">
        <v>4</v>
      </c>
      <c r="I69" s="20" t="s">
        <v>398</v>
      </c>
      <c r="J69" s="18">
        <v>10</v>
      </c>
      <c r="K69" s="18">
        <v>10</v>
      </c>
      <c r="L69" s="18">
        <v>9.5</v>
      </c>
      <c r="M69" s="18" t="s">
        <v>13</v>
      </c>
      <c r="N69" s="16" t="str">
        <f>+IF(OR($J69=0,$K69=0,$L69=0,$M69=0),"Không đủ ĐKDT","")</f>
        <v/>
      </c>
    </row>
    <row r="70" spans="2:14" ht="24.95" customHeight="1">
      <c r="B70" s="15">
        <v>61</v>
      </c>
      <c r="C70" s="22" t="s">
        <v>494</v>
      </c>
      <c r="D70" s="38" t="s">
        <v>365</v>
      </c>
      <c r="E70" s="39" t="s">
        <v>86</v>
      </c>
      <c r="F70" s="20" t="s">
        <v>444</v>
      </c>
      <c r="G70" s="20" t="s">
        <v>397</v>
      </c>
      <c r="H70" s="20">
        <v>4</v>
      </c>
      <c r="I70" s="20" t="s">
        <v>398</v>
      </c>
      <c r="J70" s="18">
        <v>10</v>
      </c>
      <c r="K70" s="18">
        <v>10</v>
      </c>
      <c r="L70" s="18">
        <v>9.5</v>
      </c>
      <c r="M70" s="18" t="s">
        <v>13</v>
      </c>
      <c r="N70" s="16" t="str">
        <f t="shared" ref="N70:N96" si="2">+IF(OR($J70=0,$K70=0,$L70=0,$M70=0),"Không đủ ĐKDT","")</f>
        <v/>
      </c>
    </row>
    <row r="71" spans="2:14" ht="24.95" customHeight="1">
      <c r="B71" s="15">
        <v>62</v>
      </c>
      <c r="C71" s="22" t="s">
        <v>495</v>
      </c>
      <c r="D71" s="38" t="s">
        <v>496</v>
      </c>
      <c r="E71" s="39" t="s">
        <v>195</v>
      </c>
      <c r="F71" s="20" t="s">
        <v>468</v>
      </c>
      <c r="G71" s="20" t="s">
        <v>397</v>
      </c>
      <c r="H71" s="20">
        <v>4</v>
      </c>
      <c r="I71" s="20" t="s">
        <v>398</v>
      </c>
      <c r="J71" s="18">
        <v>10</v>
      </c>
      <c r="K71" s="18">
        <v>10</v>
      </c>
      <c r="L71" s="18">
        <v>9</v>
      </c>
      <c r="M71" s="18" t="s">
        <v>13</v>
      </c>
      <c r="N71" s="16"/>
    </row>
    <row r="72" spans="2:14" ht="24.95" customHeight="1">
      <c r="B72" s="15">
        <v>63</v>
      </c>
      <c r="C72" s="22" t="s">
        <v>497</v>
      </c>
      <c r="D72" s="38" t="s">
        <v>498</v>
      </c>
      <c r="E72" s="39" t="s">
        <v>195</v>
      </c>
      <c r="F72" s="20" t="s">
        <v>432</v>
      </c>
      <c r="G72" s="20" t="s">
        <v>397</v>
      </c>
      <c r="H72" s="20">
        <v>4</v>
      </c>
      <c r="I72" s="20" t="s">
        <v>398</v>
      </c>
      <c r="J72" s="18">
        <v>9</v>
      </c>
      <c r="K72" s="18">
        <v>10</v>
      </c>
      <c r="L72" s="18">
        <v>9.5</v>
      </c>
      <c r="M72" s="18" t="s">
        <v>13</v>
      </c>
      <c r="N72" s="16"/>
    </row>
    <row r="73" spans="2:14" ht="24.95" customHeight="1">
      <c r="B73" s="15">
        <v>64</v>
      </c>
      <c r="C73" s="22" t="s">
        <v>499</v>
      </c>
      <c r="D73" s="38" t="s">
        <v>480</v>
      </c>
      <c r="E73" s="39" t="s">
        <v>195</v>
      </c>
      <c r="F73" s="20" t="s">
        <v>444</v>
      </c>
      <c r="G73" s="20" t="s">
        <v>397</v>
      </c>
      <c r="H73" s="20">
        <v>4</v>
      </c>
      <c r="I73" s="20" t="s">
        <v>398</v>
      </c>
      <c r="J73" s="18">
        <v>7.5</v>
      </c>
      <c r="K73" s="18">
        <v>10</v>
      </c>
      <c r="L73" s="18">
        <v>7</v>
      </c>
      <c r="M73" s="18" t="s">
        <v>13</v>
      </c>
      <c r="N73" s="16"/>
    </row>
    <row r="74" spans="2:14" ht="24.95" customHeight="1">
      <c r="B74" s="15">
        <v>65</v>
      </c>
      <c r="C74" s="22" t="s">
        <v>500</v>
      </c>
      <c r="D74" s="38" t="s">
        <v>501</v>
      </c>
      <c r="E74" s="39" t="s">
        <v>502</v>
      </c>
      <c r="F74" s="20" t="s">
        <v>43</v>
      </c>
      <c r="G74" s="20" t="s">
        <v>397</v>
      </c>
      <c r="H74" s="20">
        <v>4</v>
      </c>
      <c r="I74" s="20" t="s">
        <v>398</v>
      </c>
      <c r="J74" s="18">
        <v>10</v>
      </c>
      <c r="K74" s="18">
        <v>10</v>
      </c>
      <c r="L74" s="18">
        <v>9</v>
      </c>
      <c r="M74" s="18" t="s">
        <v>13</v>
      </c>
      <c r="N74" s="16"/>
    </row>
    <row r="75" spans="2:14" ht="24.95" customHeight="1">
      <c r="B75" s="15">
        <v>66</v>
      </c>
      <c r="C75" s="22" t="s">
        <v>503</v>
      </c>
      <c r="D75" s="38" t="s">
        <v>151</v>
      </c>
      <c r="E75" s="39" t="s">
        <v>89</v>
      </c>
      <c r="F75" s="20" t="s">
        <v>82</v>
      </c>
      <c r="G75" s="20" t="s">
        <v>397</v>
      </c>
      <c r="H75" s="20">
        <v>4</v>
      </c>
      <c r="I75" s="20" t="s">
        <v>398</v>
      </c>
      <c r="J75" s="18">
        <v>8</v>
      </c>
      <c r="K75" s="18">
        <v>10</v>
      </c>
      <c r="L75" s="18">
        <v>10</v>
      </c>
      <c r="M75" s="18" t="s">
        <v>13</v>
      </c>
      <c r="N75" s="16"/>
    </row>
    <row r="76" spans="2:14" ht="24.95" customHeight="1">
      <c r="B76" s="15">
        <v>67</v>
      </c>
      <c r="C76" s="22" t="s">
        <v>504</v>
      </c>
      <c r="D76" s="38" t="s">
        <v>505</v>
      </c>
      <c r="E76" s="39" t="s">
        <v>93</v>
      </c>
      <c r="F76" s="20" t="s">
        <v>410</v>
      </c>
      <c r="G76" s="20" t="s">
        <v>397</v>
      </c>
      <c r="H76" s="20">
        <v>4</v>
      </c>
      <c r="I76" s="20" t="s">
        <v>398</v>
      </c>
      <c r="J76" s="18">
        <v>9.5</v>
      </c>
      <c r="K76" s="18">
        <v>10</v>
      </c>
      <c r="L76" s="18">
        <v>7.5</v>
      </c>
      <c r="M76" s="18" t="s">
        <v>13</v>
      </c>
      <c r="N76" s="16"/>
    </row>
    <row r="77" spans="2:14" ht="24.95" customHeight="1">
      <c r="B77" s="15">
        <v>68</v>
      </c>
      <c r="C77" s="22" t="s">
        <v>506</v>
      </c>
      <c r="D77" s="38" t="s">
        <v>68</v>
      </c>
      <c r="E77" s="39" t="s">
        <v>95</v>
      </c>
      <c r="F77" s="20" t="s">
        <v>410</v>
      </c>
      <c r="G77" s="20" t="s">
        <v>397</v>
      </c>
      <c r="H77" s="20">
        <v>4</v>
      </c>
      <c r="I77" s="20" t="s">
        <v>398</v>
      </c>
      <c r="J77" s="18">
        <v>9</v>
      </c>
      <c r="K77" s="18">
        <v>10</v>
      </c>
      <c r="L77" s="18">
        <v>10</v>
      </c>
      <c r="M77" s="18" t="s">
        <v>13</v>
      </c>
      <c r="N77" s="16"/>
    </row>
    <row r="78" spans="2:14" ht="24.95" customHeight="1">
      <c r="B78" s="15">
        <v>69</v>
      </c>
      <c r="C78" s="22" t="s">
        <v>507</v>
      </c>
      <c r="D78" s="38" t="s">
        <v>508</v>
      </c>
      <c r="E78" s="39" t="s">
        <v>101</v>
      </c>
      <c r="F78" s="20" t="s">
        <v>38</v>
      </c>
      <c r="G78" s="20" t="s">
        <v>397</v>
      </c>
      <c r="H78" s="20">
        <v>4</v>
      </c>
      <c r="I78" s="20" t="s">
        <v>398</v>
      </c>
      <c r="J78" s="18">
        <v>10</v>
      </c>
      <c r="K78" s="18">
        <v>10</v>
      </c>
      <c r="L78" s="18">
        <v>9.5</v>
      </c>
      <c r="M78" s="18" t="s">
        <v>13</v>
      </c>
      <c r="N78" s="16" t="str">
        <f t="shared" si="2"/>
        <v/>
      </c>
    </row>
    <row r="79" spans="2:14" ht="24.95" customHeight="1">
      <c r="B79" s="15">
        <v>70</v>
      </c>
      <c r="C79" s="22" t="s">
        <v>509</v>
      </c>
      <c r="D79" s="38" t="s">
        <v>510</v>
      </c>
      <c r="E79" s="39" t="s">
        <v>101</v>
      </c>
      <c r="F79" s="20" t="s">
        <v>432</v>
      </c>
      <c r="G79" s="20" t="s">
        <v>397</v>
      </c>
      <c r="H79" s="20">
        <v>4</v>
      </c>
      <c r="I79" s="20" t="s">
        <v>398</v>
      </c>
      <c r="J79" s="18">
        <v>10</v>
      </c>
      <c r="K79" s="18">
        <v>10</v>
      </c>
      <c r="L79" s="18">
        <v>10</v>
      </c>
      <c r="M79" s="18" t="s">
        <v>13</v>
      </c>
      <c r="N79" s="16" t="s">
        <v>2849</v>
      </c>
    </row>
    <row r="80" spans="2:14" ht="24.95" customHeight="1">
      <c r="B80" s="15">
        <v>71</v>
      </c>
      <c r="C80" s="22" t="s">
        <v>511</v>
      </c>
      <c r="D80" s="38" t="s">
        <v>76</v>
      </c>
      <c r="E80" s="39" t="s">
        <v>225</v>
      </c>
      <c r="F80" s="20" t="s">
        <v>414</v>
      </c>
      <c r="G80" s="20" t="s">
        <v>397</v>
      </c>
      <c r="H80" s="20">
        <v>4</v>
      </c>
      <c r="I80" s="20" t="s">
        <v>398</v>
      </c>
      <c r="J80" s="18">
        <v>10</v>
      </c>
      <c r="K80" s="18">
        <v>10</v>
      </c>
      <c r="L80" s="18">
        <v>10</v>
      </c>
      <c r="M80" s="18" t="s">
        <v>13</v>
      </c>
      <c r="N80" s="16" t="s">
        <v>2835</v>
      </c>
    </row>
    <row r="81" spans="2:15" ht="24.95" customHeight="1">
      <c r="B81" s="15">
        <v>72</v>
      </c>
      <c r="C81" s="22" t="s">
        <v>512</v>
      </c>
      <c r="D81" s="38" t="s">
        <v>191</v>
      </c>
      <c r="E81" s="39" t="s">
        <v>106</v>
      </c>
      <c r="F81" s="20" t="s">
        <v>82</v>
      </c>
      <c r="G81" s="20" t="s">
        <v>397</v>
      </c>
      <c r="H81" s="20">
        <v>4</v>
      </c>
      <c r="I81" s="20" t="s">
        <v>398</v>
      </c>
      <c r="J81" s="18">
        <v>9.5</v>
      </c>
      <c r="K81" s="18">
        <v>9</v>
      </c>
      <c r="L81" s="18">
        <v>7</v>
      </c>
      <c r="M81" s="18" t="s">
        <v>13</v>
      </c>
      <c r="N81" s="16"/>
    </row>
    <row r="82" spans="2:15" ht="24.95" customHeight="1">
      <c r="B82" s="15">
        <v>73</v>
      </c>
      <c r="C82" s="22" t="s">
        <v>513</v>
      </c>
      <c r="D82" s="38" t="s">
        <v>127</v>
      </c>
      <c r="E82" s="39" t="s">
        <v>514</v>
      </c>
      <c r="F82" s="20" t="s">
        <v>405</v>
      </c>
      <c r="G82" s="20" t="s">
        <v>397</v>
      </c>
      <c r="H82" s="20">
        <v>4</v>
      </c>
      <c r="I82" s="20" t="s">
        <v>398</v>
      </c>
      <c r="J82" s="18">
        <v>9</v>
      </c>
      <c r="K82" s="18">
        <v>8.5</v>
      </c>
      <c r="L82" s="18">
        <v>7</v>
      </c>
      <c r="M82" s="18" t="s">
        <v>13</v>
      </c>
      <c r="N82" s="16"/>
    </row>
    <row r="83" spans="2:15" ht="24.95" customHeight="1">
      <c r="B83" s="15">
        <v>74</v>
      </c>
      <c r="C83" s="22" t="s">
        <v>515</v>
      </c>
      <c r="D83" s="38" t="s">
        <v>516</v>
      </c>
      <c r="E83" s="39" t="s">
        <v>113</v>
      </c>
      <c r="F83" s="20" t="s">
        <v>468</v>
      </c>
      <c r="G83" s="20" t="s">
        <v>397</v>
      </c>
      <c r="H83" s="20">
        <v>4</v>
      </c>
      <c r="I83" s="20" t="s">
        <v>398</v>
      </c>
      <c r="J83" s="18">
        <v>9.5</v>
      </c>
      <c r="K83" s="18">
        <v>10</v>
      </c>
      <c r="L83" s="18">
        <v>7</v>
      </c>
      <c r="M83" s="18" t="s">
        <v>13</v>
      </c>
      <c r="N83" s="16"/>
    </row>
    <row r="84" spans="2:15" ht="24.95" customHeight="1">
      <c r="B84" s="15">
        <v>75</v>
      </c>
      <c r="C84" s="22" t="s">
        <v>517</v>
      </c>
      <c r="D84" s="38" t="s">
        <v>200</v>
      </c>
      <c r="E84" s="39" t="s">
        <v>113</v>
      </c>
      <c r="F84" s="20" t="s">
        <v>420</v>
      </c>
      <c r="G84" s="20" t="s">
        <v>397</v>
      </c>
      <c r="H84" s="20">
        <v>4</v>
      </c>
      <c r="I84" s="20" t="s">
        <v>398</v>
      </c>
      <c r="J84" s="18">
        <v>10</v>
      </c>
      <c r="K84" s="18">
        <v>10</v>
      </c>
      <c r="L84" s="18">
        <v>8</v>
      </c>
      <c r="M84" s="18" t="s">
        <v>13</v>
      </c>
      <c r="N84" s="16" t="str">
        <f t="shared" si="2"/>
        <v/>
      </c>
    </row>
    <row r="85" spans="2:15" ht="24.95" customHeight="1">
      <c r="B85" s="15">
        <v>76</v>
      </c>
      <c r="C85" s="22" t="s">
        <v>518</v>
      </c>
      <c r="D85" s="38" t="s">
        <v>70</v>
      </c>
      <c r="E85" s="39" t="s">
        <v>228</v>
      </c>
      <c r="F85" s="20" t="s">
        <v>410</v>
      </c>
      <c r="G85" s="20" t="s">
        <v>397</v>
      </c>
      <c r="H85" s="20">
        <v>4</v>
      </c>
      <c r="I85" s="20" t="s">
        <v>398</v>
      </c>
      <c r="J85" s="18">
        <v>10</v>
      </c>
      <c r="K85" s="18">
        <v>10</v>
      </c>
      <c r="L85" s="18">
        <v>10</v>
      </c>
      <c r="M85" s="18" t="s">
        <v>13</v>
      </c>
      <c r="N85" s="16"/>
    </row>
    <row r="86" spans="2:15" ht="24.95" customHeight="1">
      <c r="B86" s="15">
        <v>77</v>
      </c>
      <c r="C86" s="22" t="s">
        <v>519</v>
      </c>
      <c r="D86" s="38" t="s">
        <v>520</v>
      </c>
      <c r="E86" s="39" t="s">
        <v>521</v>
      </c>
      <c r="F86" s="20" t="s">
        <v>40</v>
      </c>
      <c r="G86" s="20" t="s">
        <v>397</v>
      </c>
      <c r="H86" s="20">
        <v>4</v>
      </c>
      <c r="I86" s="20" t="s">
        <v>398</v>
      </c>
      <c r="J86" s="18">
        <v>9.5</v>
      </c>
      <c r="K86" s="18">
        <v>9.5</v>
      </c>
      <c r="L86" s="18">
        <v>9.5</v>
      </c>
      <c r="M86" s="18" t="s">
        <v>13</v>
      </c>
      <c r="N86" s="16"/>
    </row>
    <row r="87" spans="2:15" ht="24.95" customHeight="1">
      <c r="B87" s="15">
        <v>78</v>
      </c>
      <c r="C87" s="22" t="s">
        <v>522</v>
      </c>
      <c r="D87" s="38" t="s">
        <v>74</v>
      </c>
      <c r="E87" s="39" t="s">
        <v>161</v>
      </c>
      <c r="F87" s="20" t="s">
        <v>523</v>
      </c>
      <c r="G87" s="20" t="s">
        <v>397</v>
      </c>
      <c r="H87" s="20">
        <v>4</v>
      </c>
      <c r="I87" s="20" t="s">
        <v>398</v>
      </c>
      <c r="J87" s="18">
        <v>9</v>
      </c>
      <c r="K87" s="18">
        <v>10</v>
      </c>
      <c r="L87" s="18">
        <v>8</v>
      </c>
      <c r="M87" s="18" t="s">
        <v>13</v>
      </c>
      <c r="N87" s="16"/>
    </row>
    <row r="88" spans="2:15" ht="24.95" customHeight="1">
      <c r="B88" s="15">
        <v>79</v>
      </c>
      <c r="C88" s="22" t="s">
        <v>524</v>
      </c>
      <c r="D88" s="38" t="s">
        <v>525</v>
      </c>
      <c r="E88" s="39" t="s">
        <v>165</v>
      </c>
      <c r="F88" s="20" t="s">
        <v>456</v>
      </c>
      <c r="G88" s="20" t="s">
        <v>397</v>
      </c>
      <c r="H88" s="20">
        <v>4</v>
      </c>
      <c r="I88" s="20" t="s">
        <v>398</v>
      </c>
      <c r="J88" s="18">
        <v>10</v>
      </c>
      <c r="K88" s="18">
        <v>9.5</v>
      </c>
      <c r="L88" s="18">
        <v>9</v>
      </c>
      <c r="M88" s="18" t="s">
        <v>13</v>
      </c>
      <c r="N88" s="16"/>
    </row>
    <row r="89" spans="2:15" ht="24.95" customHeight="1">
      <c r="B89" s="15">
        <v>80</v>
      </c>
      <c r="C89" s="22" t="s">
        <v>526</v>
      </c>
      <c r="D89" s="38" t="s">
        <v>309</v>
      </c>
      <c r="E89" s="39" t="s">
        <v>165</v>
      </c>
      <c r="F89" s="20" t="s">
        <v>414</v>
      </c>
      <c r="G89" s="20" t="s">
        <v>397</v>
      </c>
      <c r="H89" s="20">
        <v>4</v>
      </c>
      <c r="I89" s="20" t="s">
        <v>398</v>
      </c>
      <c r="J89" s="18">
        <v>10</v>
      </c>
      <c r="K89" s="18">
        <v>10</v>
      </c>
      <c r="L89" s="18">
        <v>10</v>
      </c>
      <c r="M89" s="18" t="s">
        <v>13</v>
      </c>
      <c r="N89" s="16" t="s">
        <v>2837</v>
      </c>
      <c r="O89" s="52">
        <v>0.25</v>
      </c>
    </row>
    <row r="90" spans="2:15" ht="24.95" customHeight="1">
      <c r="B90" s="15">
        <v>81</v>
      </c>
      <c r="C90" s="22" t="s">
        <v>527</v>
      </c>
      <c r="D90" s="38" t="s">
        <v>164</v>
      </c>
      <c r="E90" s="39" t="s">
        <v>165</v>
      </c>
      <c r="F90" s="20" t="s">
        <v>52</v>
      </c>
      <c r="G90" s="20" t="s">
        <v>397</v>
      </c>
      <c r="H90" s="20">
        <v>4</v>
      </c>
      <c r="I90" s="20" t="s">
        <v>398</v>
      </c>
      <c r="J90" s="18">
        <v>10</v>
      </c>
      <c r="K90" s="18">
        <v>10</v>
      </c>
      <c r="L90" s="18">
        <v>9.5</v>
      </c>
      <c r="M90" s="18" t="s">
        <v>13</v>
      </c>
      <c r="N90" s="16"/>
    </row>
    <row r="91" spans="2:15" ht="24.95" customHeight="1">
      <c r="B91" s="15">
        <v>82</v>
      </c>
      <c r="C91" s="22" t="s">
        <v>528</v>
      </c>
      <c r="D91" s="38" t="s">
        <v>201</v>
      </c>
      <c r="E91" s="39" t="s">
        <v>165</v>
      </c>
      <c r="F91" s="20" t="s">
        <v>420</v>
      </c>
      <c r="G91" s="20" t="s">
        <v>397</v>
      </c>
      <c r="H91" s="20">
        <v>4</v>
      </c>
      <c r="I91" s="20" t="s">
        <v>398</v>
      </c>
      <c r="J91" s="18">
        <v>9.5</v>
      </c>
      <c r="K91" s="18">
        <v>10</v>
      </c>
      <c r="L91" s="18">
        <v>9</v>
      </c>
      <c r="M91" s="18" t="s">
        <v>13</v>
      </c>
      <c r="N91" s="16"/>
    </row>
    <row r="92" spans="2:15" ht="24.95" customHeight="1">
      <c r="B92" s="15">
        <v>83</v>
      </c>
      <c r="C92" s="22" t="s">
        <v>529</v>
      </c>
      <c r="D92" s="38" t="s">
        <v>392</v>
      </c>
      <c r="E92" s="39" t="s">
        <v>244</v>
      </c>
      <c r="F92" s="20" t="s">
        <v>405</v>
      </c>
      <c r="G92" s="20" t="s">
        <v>397</v>
      </c>
      <c r="H92" s="20">
        <v>4</v>
      </c>
      <c r="I92" s="20" t="s">
        <v>398</v>
      </c>
      <c r="J92" s="18">
        <v>10</v>
      </c>
      <c r="K92" s="18">
        <v>10</v>
      </c>
      <c r="L92" s="18">
        <v>7.5</v>
      </c>
      <c r="M92" s="18" t="s">
        <v>13</v>
      </c>
      <c r="N92" s="16"/>
    </row>
    <row r="93" spans="2:15" ht="24.95" customHeight="1">
      <c r="B93" s="15">
        <v>84</v>
      </c>
      <c r="C93" s="22" t="s">
        <v>530</v>
      </c>
      <c r="D93" s="38" t="s">
        <v>157</v>
      </c>
      <c r="E93" s="39" t="s">
        <v>120</v>
      </c>
      <c r="F93" s="20" t="s">
        <v>30</v>
      </c>
      <c r="G93" s="20" t="s">
        <v>397</v>
      </c>
      <c r="H93" s="20">
        <v>4</v>
      </c>
      <c r="I93" s="20" t="s">
        <v>398</v>
      </c>
      <c r="J93" s="18">
        <v>10</v>
      </c>
      <c r="K93" s="18">
        <v>10</v>
      </c>
      <c r="L93" s="18">
        <v>8.5</v>
      </c>
      <c r="M93" s="18" t="s">
        <v>13</v>
      </c>
      <c r="N93" s="16" t="str">
        <f t="shared" si="2"/>
        <v/>
      </c>
    </row>
    <row r="94" spans="2:15" ht="24.95" customHeight="1">
      <c r="B94" s="15">
        <v>85</v>
      </c>
      <c r="C94" s="22" t="s">
        <v>531</v>
      </c>
      <c r="D94" s="38" t="s">
        <v>532</v>
      </c>
      <c r="E94" s="39" t="s">
        <v>120</v>
      </c>
      <c r="F94" s="20" t="s">
        <v>468</v>
      </c>
      <c r="G94" s="20" t="s">
        <v>397</v>
      </c>
      <c r="H94" s="20">
        <v>4</v>
      </c>
      <c r="I94" s="20" t="s">
        <v>398</v>
      </c>
      <c r="J94" s="18">
        <v>9.5</v>
      </c>
      <c r="K94" s="18">
        <v>10</v>
      </c>
      <c r="L94" s="18">
        <v>8</v>
      </c>
      <c r="M94" s="18" t="s">
        <v>13</v>
      </c>
      <c r="N94" s="16"/>
    </row>
    <row r="95" spans="2:15" ht="24.95" customHeight="1">
      <c r="B95" s="15">
        <v>86</v>
      </c>
      <c r="C95" s="22" t="s">
        <v>533</v>
      </c>
      <c r="D95" s="38" t="s">
        <v>182</v>
      </c>
      <c r="E95" s="39" t="s">
        <v>125</v>
      </c>
      <c r="F95" s="20" t="s">
        <v>43</v>
      </c>
      <c r="G95" s="20" t="s">
        <v>397</v>
      </c>
      <c r="H95" s="20">
        <v>4</v>
      </c>
      <c r="I95" s="20" t="s">
        <v>398</v>
      </c>
      <c r="J95" s="18">
        <v>10</v>
      </c>
      <c r="K95" s="18">
        <v>9</v>
      </c>
      <c r="L95" s="18">
        <v>9.5</v>
      </c>
      <c r="M95" s="18" t="s">
        <v>13</v>
      </c>
      <c r="N95" s="16" t="str">
        <f t="shared" si="2"/>
        <v/>
      </c>
    </row>
    <row r="96" spans="2:15" ht="24.95" customHeight="1">
      <c r="B96" s="15">
        <v>87</v>
      </c>
      <c r="C96" s="22" t="s">
        <v>534</v>
      </c>
      <c r="D96" s="38" t="s">
        <v>535</v>
      </c>
      <c r="E96" s="39" t="s">
        <v>173</v>
      </c>
      <c r="F96" s="20" t="s">
        <v>52</v>
      </c>
      <c r="G96" s="20" t="s">
        <v>397</v>
      </c>
      <c r="H96" s="20">
        <v>4</v>
      </c>
      <c r="I96" s="20" t="s">
        <v>398</v>
      </c>
      <c r="J96" s="18">
        <v>10</v>
      </c>
      <c r="K96" s="18">
        <v>9.5</v>
      </c>
      <c r="L96" s="18">
        <v>7.5</v>
      </c>
      <c r="M96" s="18" t="s">
        <v>13</v>
      </c>
      <c r="N96" s="16" t="str">
        <f t="shared" si="2"/>
        <v/>
      </c>
    </row>
    <row r="97" spans="2:14" ht="19.5" customHeight="1">
      <c r="B97" s="64" t="s">
        <v>20</v>
      </c>
      <c r="C97" s="64"/>
      <c r="D97" s="64"/>
      <c r="E97" s="64"/>
    </row>
    <row r="98" spans="2:14" ht="19.5" customHeight="1">
      <c r="B98" s="55" t="str">
        <f>"Điểm chuyên cần: " &amp; $J$9 &amp; " "</f>
        <v xml:space="preserve">Điểm chuyên cần: 0.1 </v>
      </c>
      <c r="C98" s="55"/>
      <c r="D98" s="55"/>
      <c r="E98" s="55"/>
    </row>
    <row r="99" spans="2:14" ht="19.5" customHeight="1">
      <c r="B99" s="55" t="str">
        <f>"Điểm trung bình kiểm tra: "&amp;$K$9&amp;""</f>
        <v>Điểm trung bình kiểm tra: 0.1</v>
      </c>
      <c r="C99" s="55"/>
      <c r="D99" s="55"/>
      <c r="E99" s="55"/>
    </row>
    <row r="100" spans="2:14" ht="19.5" customHeight="1">
      <c r="B100" s="55" t="str">
        <f>"Điểm thí nghiệm, thực hành: "&amp;$L$9&amp;""</f>
        <v>Điểm thí nghiệm, thực hành: 0.2</v>
      </c>
      <c r="C100" s="55"/>
      <c r="D100" s="55"/>
      <c r="E100" s="55"/>
    </row>
    <row r="101" spans="2:14" ht="19.5" customHeight="1">
      <c r="B101" s="55" t="str">
        <f>"Điểm bài tập tiểu luận, seminar: "&amp;$M$9&amp;""</f>
        <v xml:space="preserve">Điểm bài tập tiểu luận, seminar: </v>
      </c>
      <c r="C101" s="55"/>
      <c r="D101" s="55"/>
      <c r="E101" s="55"/>
    </row>
    <row r="102" spans="2:14">
      <c r="J102" s="56" t="s">
        <v>2844</v>
      </c>
      <c r="K102" s="56"/>
      <c r="L102" s="56"/>
      <c r="M102" s="56"/>
      <c r="N102" s="56"/>
    </row>
    <row r="103" spans="2:14" ht="32.25" customHeight="1">
      <c r="B103" s="57" t="s">
        <v>17</v>
      </c>
      <c r="C103" s="57"/>
      <c r="D103" s="57"/>
      <c r="E103" s="57"/>
      <c r="F103" s="28"/>
      <c r="G103" s="28"/>
      <c r="H103" s="28"/>
      <c r="I103" s="28"/>
      <c r="J103" s="57" t="s">
        <v>18</v>
      </c>
      <c r="K103" s="57"/>
      <c r="L103" s="57"/>
      <c r="M103" s="57"/>
      <c r="N103" s="57"/>
    </row>
    <row r="109" spans="2:14">
      <c r="B109" s="58" t="s">
        <v>2834</v>
      </c>
      <c r="C109" s="58"/>
      <c r="D109" s="58"/>
      <c r="E109" s="58"/>
      <c r="J109" s="58" t="s">
        <v>2834</v>
      </c>
      <c r="K109" s="58"/>
      <c r="L109" s="58"/>
      <c r="M109" s="58"/>
      <c r="N109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5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100:E100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7:E97"/>
    <mergeCell ref="B98:E98"/>
    <mergeCell ref="B99:E99"/>
    <mergeCell ref="L7:L8"/>
    <mergeCell ref="M7:M8"/>
    <mergeCell ref="B101:E101"/>
    <mergeCell ref="J102:N102"/>
    <mergeCell ref="B103:E103"/>
    <mergeCell ref="J103:N103"/>
    <mergeCell ref="J109:N109"/>
    <mergeCell ref="B109:E109"/>
  </mergeCells>
  <conditionalFormatting sqref="J10:M96">
    <cfRule type="cellIs" dxfId="55" priority="37" stopIfTrue="1" operator="greaterThan">
      <formula>10</formula>
    </cfRule>
    <cfRule type="cellIs" dxfId="54" priority="38" stopIfTrue="1" operator="greaterThan">
      <formula>10</formula>
    </cfRule>
    <cfRule type="cellIs" dxfId="53" priority="39" stopIfTrue="1" operator="greaterThan">
      <formula>10</formula>
    </cfRule>
    <cfRule type="cellIs" dxfId="52" priority="40" stopIfTrue="1" operator="greaterThan">
      <formula>10</formula>
    </cfRule>
  </conditionalFormatting>
  <conditionalFormatting sqref="C10:C38">
    <cfRule type="duplicateValues" dxfId="51" priority="179" stopIfTrue="1"/>
    <cfRule type="duplicateValues" dxfId="50" priority="180" stopIfTrue="1"/>
  </conditionalFormatting>
  <conditionalFormatting sqref="C39:C67">
    <cfRule type="duplicateValues" dxfId="49" priority="27" stopIfTrue="1"/>
    <cfRule type="duplicateValues" dxfId="48" priority="28" stopIfTrue="1"/>
  </conditionalFormatting>
  <conditionalFormatting sqref="C68:C96">
    <cfRule type="duplicateValues" dxfId="47" priority="13" stopIfTrue="1"/>
    <cfRule type="duplicateValues" dxfId="46" priority="14" stopIfTrue="1"/>
  </conditionalFormatting>
  <dataValidations count="1">
    <dataValidation type="decimal" allowBlank="1" showInputMessage="1" showErrorMessage="1" error="Sai định dạng" sqref="J10:M96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B1:N108"/>
  <sheetViews>
    <sheetView topLeftCell="A82" workbookViewId="0">
      <selection activeCell="B11" sqref="B11:B94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BAS1224_10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2160</v>
      </c>
      <c r="D10" s="9" t="s">
        <v>303</v>
      </c>
      <c r="E10" s="11" t="s">
        <v>27</v>
      </c>
      <c r="F10" s="19" t="s">
        <v>432</v>
      </c>
      <c r="G10" s="19" t="s">
        <v>397</v>
      </c>
      <c r="H10" s="19">
        <v>4</v>
      </c>
      <c r="I10" s="19" t="s">
        <v>2161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2162</v>
      </c>
      <c r="D11" s="10" t="s">
        <v>74</v>
      </c>
      <c r="E11" s="12" t="s">
        <v>27</v>
      </c>
      <c r="F11" s="20" t="s">
        <v>1144</v>
      </c>
      <c r="G11" s="20" t="s">
        <v>397</v>
      </c>
      <c r="H11" s="20">
        <v>4</v>
      </c>
      <c r="I11" s="20" t="s">
        <v>2161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2163</v>
      </c>
      <c r="D12" s="10" t="s">
        <v>304</v>
      </c>
      <c r="E12" s="12" t="s">
        <v>27</v>
      </c>
      <c r="F12" s="20" t="s">
        <v>414</v>
      </c>
      <c r="G12" s="20" t="s">
        <v>397</v>
      </c>
      <c r="H12" s="20">
        <v>4</v>
      </c>
      <c r="I12" s="20" t="s">
        <v>2161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2164</v>
      </c>
      <c r="D13" s="10" t="s">
        <v>76</v>
      </c>
      <c r="E13" s="12" t="s">
        <v>957</v>
      </c>
      <c r="F13" s="20" t="s">
        <v>30</v>
      </c>
      <c r="G13" s="20" t="s">
        <v>397</v>
      </c>
      <c r="H13" s="20">
        <v>4</v>
      </c>
      <c r="I13" s="20" t="s">
        <v>2161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2165</v>
      </c>
      <c r="D14" s="10" t="s">
        <v>66</v>
      </c>
      <c r="E14" s="12" t="s">
        <v>246</v>
      </c>
      <c r="F14" s="20" t="s">
        <v>1448</v>
      </c>
      <c r="G14" s="20" t="s">
        <v>397</v>
      </c>
      <c r="H14" s="20">
        <v>4</v>
      </c>
      <c r="I14" s="20" t="s">
        <v>2161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2166</v>
      </c>
      <c r="D15" s="10" t="s">
        <v>2167</v>
      </c>
      <c r="E15" s="12" t="s">
        <v>33</v>
      </c>
      <c r="F15" s="20" t="s">
        <v>468</v>
      </c>
      <c r="G15" s="20" t="s">
        <v>397</v>
      </c>
      <c r="H15" s="20">
        <v>4</v>
      </c>
      <c r="I15" s="20" t="s">
        <v>2161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2168</v>
      </c>
      <c r="D16" s="10" t="s">
        <v>74</v>
      </c>
      <c r="E16" s="12" t="s">
        <v>33</v>
      </c>
      <c r="F16" s="20" t="s">
        <v>30</v>
      </c>
      <c r="G16" s="20" t="s">
        <v>397</v>
      </c>
      <c r="H16" s="20">
        <v>4</v>
      </c>
      <c r="I16" s="20" t="s">
        <v>2161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2169</v>
      </c>
      <c r="D17" s="10" t="s">
        <v>63</v>
      </c>
      <c r="E17" s="12" t="s">
        <v>230</v>
      </c>
      <c r="F17" s="20" t="s">
        <v>396</v>
      </c>
      <c r="G17" s="20" t="s">
        <v>397</v>
      </c>
      <c r="H17" s="20">
        <v>4</v>
      </c>
      <c r="I17" s="20" t="s">
        <v>2161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2170</v>
      </c>
      <c r="D18" s="10" t="s">
        <v>231</v>
      </c>
      <c r="E18" s="12" t="s">
        <v>230</v>
      </c>
      <c r="F18" s="20" t="s">
        <v>456</v>
      </c>
      <c r="G18" s="20" t="s">
        <v>397</v>
      </c>
      <c r="H18" s="20">
        <v>4</v>
      </c>
      <c r="I18" s="20" t="s">
        <v>2161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2171</v>
      </c>
      <c r="D19" s="10" t="s">
        <v>2172</v>
      </c>
      <c r="E19" s="12" t="s">
        <v>180</v>
      </c>
      <c r="F19" s="20" t="s">
        <v>420</v>
      </c>
      <c r="G19" s="20" t="s">
        <v>397</v>
      </c>
      <c r="H19" s="20">
        <v>4</v>
      </c>
      <c r="I19" s="20" t="s">
        <v>2161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2173</v>
      </c>
      <c r="D20" s="10" t="s">
        <v>63</v>
      </c>
      <c r="E20" s="12" t="s">
        <v>1955</v>
      </c>
      <c r="F20" s="20" t="s">
        <v>38</v>
      </c>
      <c r="G20" s="20" t="s">
        <v>397</v>
      </c>
      <c r="H20" s="20">
        <v>4</v>
      </c>
      <c r="I20" s="20" t="s">
        <v>2161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2174</v>
      </c>
      <c r="D21" s="10" t="s">
        <v>2175</v>
      </c>
      <c r="E21" s="12" t="s">
        <v>36</v>
      </c>
      <c r="F21" s="20" t="s">
        <v>456</v>
      </c>
      <c r="G21" s="20" t="s">
        <v>397</v>
      </c>
      <c r="H21" s="20">
        <v>4</v>
      </c>
      <c r="I21" s="20" t="s">
        <v>2161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2176</v>
      </c>
      <c r="D22" s="10" t="s">
        <v>175</v>
      </c>
      <c r="E22" s="12" t="s">
        <v>135</v>
      </c>
      <c r="F22" s="20" t="s">
        <v>30</v>
      </c>
      <c r="G22" s="20" t="s">
        <v>397</v>
      </c>
      <c r="H22" s="20">
        <v>4</v>
      </c>
      <c r="I22" s="20" t="s">
        <v>2161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2177</v>
      </c>
      <c r="D23" s="10" t="s">
        <v>625</v>
      </c>
      <c r="E23" s="12" t="s">
        <v>136</v>
      </c>
      <c r="F23" s="20" t="s">
        <v>30</v>
      </c>
      <c r="G23" s="20" t="s">
        <v>397</v>
      </c>
      <c r="H23" s="20">
        <v>4</v>
      </c>
      <c r="I23" s="20" t="s">
        <v>2161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2178</v>
      </c>
      <c r="D24" s="10" t="s">
        <v>2179</v>
      </c>
      <c r="E24" s="12" t="s">
        <v>1491</v>
      </c>
      <c r="F24" s="20" t="s">
        <v>432</v>
      </c>
      <c r="G24" s="20" t="s">
        <v>397</v>
      </c>
      <c r="H24" s="20">
        <v>4</v>
      </c>
      <c r="I24" s="20" t="s">
        <v>2161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2180</v>
      </c>
      <c r="D25" s="10" t="s">
        <v>1175</v>
      </c>
      <c r="E25" s="12" t="s">
        <v>39</v>
      </c>
      <c r="F25" s="20" t="s">
        <v>82</v>
      </c>
      <c r="G25" s="20" t="s">
        <v>397</v>
      </c>
      <c r="H25" s="20">
        <v>4</v>
      </c>
      <c r="I25" s="20" t="s">
        <v>2161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2181</v>
      </c>
      <c r="D26" s="10" t="s">
        <v>2182</v>
      </c>
      <c r="E26" s="12" t="s">
        <v>39</v>
      </c>
      <c r="F26" s="20" t="s">
        <v>456</v>
      </c>
      <c r="G26" s="20" t="s">
        <v>397</v>
      </c>
      <c r="H26" s="20">
        <v>4</v>
      </c>
      <c r="I26" s="20" t="s">
        <v>2161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2183</v>
      </c>
      <c r="D27" s="10" t="s">
        <v>2184</v>
      </c>
      <c r="E27" s="12" t="s">
        <v>39</v>
      </c>
      <c r="F27" s="20" t="s">
        <v>468</v>
      </c>
      <c r="G27" s="20" t="s">
        <v>397</v>
      </c>
      <c r="H27" s="20">
        <v>4</v>
      </c>
      <c r="I27" s="20" t="s">
        <v>2161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2185</v>
      </c>
      <c r="D28" s="10" t="s">
        <v>1991</v>
      </c>
      <c r="E28" s="12" t="s">
        <v>2186</v>
      </c>
      <c r="F28" s="20" t="s">
        <v>396</v>
      </c>
      <c r="G28" s="20" t="s">
        <v>397</v>
      </c>
      <c r="H28" s="20">
        <v>4</v>
      </c>
      <c r="I28" s="20" t="s">
        <v>2161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2187</v>
      </c>
      <c r="D29" s="10" t="s">
        <v>211</v>
      </c>
      <c r="E29" s="12" t="s">
        <v>233</v>
      </c>
      <c r="F29" s="20" t="s">
        <v>456</v>
      </c>
      <c r="G29" s="20" t="s">
        <v>397</v>
      </c>
      <c r="H29" s="20">
        <v>4</v>
      </c>
      <c r="I29" s="20" t="s">
        <v>2161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2188</v>
      </c>
      <c r="D30" s="10" t="s">
        <v>112</v>
      </c>
      <c r="E30" s="12" t="s">
        <v>44</v>
      </c>
      <c r="F30" s="20" t="s">
        <v>410</v>
      </c>
      <c r="G30" s="20" t="s">
        <v>397</v>
      </c>
      <c r="H30" s="20">
        <v>4</v>
      </c>
      <c r="I30" s="20" t="s">
        <v>2161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2189</v>
      </c>
      <c r="D31" s="10" t="s">
        <v>138</v>
      </c>
      <c r="E31" s="12" t="s">
        <v>44</v>
      </c>
      <c r="F31" s="20" t="s">
        <v>40</v>
      </c>
      <c r="G31" s="20" t="s">
        <v>397</v>
      </c>
      <c r="H31" s="20">
        <v>4</v>
      </c>
      <c r="I31" s="20" t="s">
        <v>2161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2190</v>
      </c>
      <c r="D32" s="10" t="s">
        <v>61</v>
      </c>
      <c r="E32" s="12" t="s">
        <v>44</v>
      </c>
      <c r="F32" s="20" t="s">
        <v>692</v>
      </c>
      <c r="G32" s="20" t="s">
        <v>397</v>
      </c>
      <c r="H32" s="20">
        <v>4</v>
      </c>
      <c r="I32" s="20" t="s">
        <v>2161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2191</v>
      </c>
      <c r="D33" s="10" t="s">
        <v>63</v>
      </c>
      <c r="E33" s="12" t="s">
        <v>44</v>
      </c>
      <c r="F33" s="20" t="s">
        <v>432</v>
      </c>
      <c r="G33" s="20" t="s">
        <v>397</v>
      </c>
      <c r="H33" s="20">
        <v>4</v>
      </c>
      <c r="I33" s="20" t="s">
        <v>2161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2192</v>
      </c>
      <c r="D34" s="10" t="s">
        <v>139</v>
      </c>
      <c r="E34" s="12" t="s">
        <v>46</v>
      </c>
      <c r="F34" s="20" t="s">
        <v>40</v>
      </c>
      <c r="G34" s="20" t="s">
        <v>397</v>
      </c>
      <c r="H34" s="20">
        <v>4</v>
      </c>
      <c r="I34" s="20" t="s">
        <v>2161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2193</v>
      </c>
      <c r="D35" s="10" t="s">
        <v>54</v>
      </c>
      <c r="E35" s="12" t="s">
        <v>213</v>
      </c>
      <c r="F35" s="20" t="s">
        <v>410</v>
      </c>
      <c r="G35" s="20" t="s">
        <v>397</v>
      </c>
      <c r="H35" s="20">
        <v>4</v>
      </c>
      <c r="I35" s="20" t="s">
        <v>2161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2194</v>
      </c>
      <c r="D36" s="10" t="s">
        <v>834</v>
      </c>
      <c r="E36" s="12" t="s">
        <v>49</v>
      </c>
      <c r="F36" s="20" t="s">
        <v>456</v>
      </c>
      <c r="G36" s="20" t="s">
        <v>397</v>
      </c>
      <c r="H36" s="20">
        <v>4</v>
      </c>
      <c r="I36" s="20" t="s">
        <v>2161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2195</v>
      </c>
      <c r="D37" s="10" t="s">
        <v>50</v>
      </c>
      <c r="E37" s="12" t="s">
        <v>51</v>
      </c>
      <c r="F37" s="20" t="s">
        <v>52</v>
      </c>
      <c r="G37" s="20" t="s">
        <v>397</v>
      </c>
      <c r="H37" s="20">
        <v>4</v>
      </c>
      <c r="I37" s="20" t="s">
        <v>2161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2196</v>
      </c>
      <c r="D38" s="10" t="s">
        <v>2197</v>
      </c>
      <c r="E38" s="12" t="s">
        <v>53</v>
      </c>
      <c r="F38" s="20" t="s">
        <v>396</v>
      </c>
      <c r="G38" s="20" t="s">
        <v>397</v>
      </c>
      <c r="H38" s="20">
        <v>4</v>
      </c>
      <c r="I38" s="20" t="s">
        <v>2161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2198</v>
      </c>
      <c r="D39" s="9" t="s">
        <v>237</v>
      </c>
      <c r="E39" s="11" t="s">
        <v>53</v>
      </c>
      <c r="F39" s="19" t="s">
        <v>456</v>
      </c>
      <c r="G39" s="19" t="s">
        <v>397</v>
      </c>
      <c r="H39" s="19">
        <v>4</v>
      </c>
      <c r="I39" s="19" t="s">
        <v>2161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2199</v>
      </c>
      <c r="D40" s="10" t="s">
        <v>157</v>
      </c>
      <c r="E40" s="12" t="s">
        <v>53</v>
      </c>
      <c r="F40" s="20" t="s">
        <v>414</v>
      </c>
      <c r="G40" s="20" t="s">
        <v>397</v>
      </c>
      <c r="H40" s="20">
        <v>4</v>
      </c>
      <c r="I40" s="20" t="s">
        <v>2161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2200</v>
      </c>
      <c r="D41" s="10" t="s">
        <v>612</v>
      </c>
      <c r="E41" s="12" t="s">
        <v>53</v>
      </c>
      <c r="F41" s="20" t="s">
        <v>410</v>
      </c>
      <c r="G41" s="20" t="s">
        <v>397</v>
      </c>
      <c r="H41" s="20">
        <v>4</v>
      </c>
      <c r="I41" s="20" t="s">
        <v>2161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6" si="1">+IF(OR($J41=0,$K41=0,$L41=0,$M41=0),"Không đủ ĐKDT","")</f>
        <v/>
      </c>
    </row>
    <row r="42" spans="2:14" ht="16.5" customHeight="1">
      <c r="B42" s="15">
        <v>33</v>
      </c>
      <c r="C42" s="22" t="s">
        <v>2201</v>
      </c>
      <c r="D42" s="10" t="s">
        <v>79</v>
      </c>
      <c r="E42" s="12" t="s">
        <v>291</v>
      </c>
      <c r="F42" s="20" t="s">
        <v>82</v>
      </c>
      <c r="G42" s="20" t="s">
        <v>397</v>
      </c>
      <c r="H42" s="20">
        <v>4</v>
      </c>
      <c r="I42" s="20" t="s">
        <v>2161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2202</v>
      </c>
      <c r="D43" s="10" t="s">
        <v>54</v>
      </c>
      <c r="E43" s="12" t="s">
        <v>729</v>
      </c>
      <c r="F43" s="20" t="s">
        <v>456</v>
      </c>
      <c r="G43" s="20" t="s">
        <v>397</v>
      </c>
      <c r="H43" s="20">
        <v>4</v>
      </c>
      <c r="I43" s="20" t="s">
        <v>2161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2203</v>
      </c>
      <c r="D44" s="10" t="s">
        <v>37</v>
      </c>
      <c r="E44" s="12" t="s">
        <v>56</v>
      </c>
      <c r="F44" s="20" t="s">
        <v>410</v>
      </c>
      <c r="G44" s="20" t="s">
        <v>397</v>
      </c>
      <c r="H44" s="20">
        <v>4</v>
      </c>
      <c r="I44" s="20" t="s">
        <v>2161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2204</v>
      </c>
      <c r="D45" s="10" t="s">
        <v>227</v>
      </c>
      <c r="E45" s="12" t="s">
        <v>56</v>
      </c>
      <c r="F45" s="20" t="s">
        <v>696</v>
      </c>
      <c r="G45" s="20" t="s">
        <v>397</v>
      </c>
      <c r="H45" s="20">
        <v>4</v>
      </c>
      <c r="I45" s="20" t="s">
        <v>2161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2205</v>
      </c>
      <c r="D46" s="10" t="s">
        <v>238</v>
      </c>
      <c r="E46" s="12" t="s">
        <v>58</v>
      </c>
      <c r="F46" s="20" t="s">
        <v>456</v>
      </c>
      <c r="G46" s="20" t="s">
        <v>397</v>
      </c>
      <c r="H46" s="20">
        <v>4</v>
      </c>
      <c r="I46" s="20" t="s">
        <v>2161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2206</v>
      </c>
      <c r="D47" s="10" t="s">
        <v>240</v>
      </c>
      <c r="E47" s="12" t="s">
        <v>58</v>
      </c>
      <c r="F47" s="20" t="s">
        <v>43</v>
      </c>
      <c r="G47" s="20" t="s">
        <v>397</v>
      </c>
      <c r="H47" s="20">
        <v>4</v>
      </c>
      <c r="I47" s="20" t="s">
        <v>2161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2207</v>
      </c>
      <c r="D48" s="10" t="s">
        <v>167</v>
      </c>
      <c r="E48" s="12" t="s">
        <v>58</v>
      </c>
      <c r="F48" s="20" t="s">
        <v>38</v>
      </c>
      <c r="G48" s="20" t="s">
        <v>397</v>
      </c>
      <c r="H48" s="20">
        <v>4</v>
      </c>
      <c r="I48" s="20" t="s">
        <v>2161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2208</v>
      </c>
      <c r="D49" s="10" t="s">
        <v>1991</v>
      </c>
      <c r="E49" s="12" t="s">
        <v>58</v>
      </c>
      <c r="F49" s="20" t="s">
        <v>432</v>
      </c>
      <c r="G49" s="20" t="s">
        <v>397</v>
      </c>
      <c r="H49" s="20">
        <v>4</v>
      </c>
      <c r="I49" s="20" t="s">
        <v>2161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2209</v>
      </c>
      <c r="D50" s="10" t="s">
        <v>2210</v>
      </c>
      <c r="E50" s="12" t="s">
        <v>58</v>
      </c>
      <c r="F50" s="20" t="s">
        <v>82</v>
      </c>
      <c r="G50" s="20" t="s">
        <v>397</v>
      </c>
      <c r="H50" s="20">
        <v>4</v>
      </c>
      <c r="I50" s="20" t="s">
        <v>2161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2211</v>
      </c>
      <c r="D51" s="10" t="s">
        <v>59</v>
      </c>
      <c r="E51" s="12" t="s">
        <v>60</v>
      </c>
      <c r="F51" s="20" t="s">
        <v>456</v>
      </c>
      <c r="G51" s="20" t="s">
        <v>397</v>
      </c>
      <c r="H51" s="20">
        <v>4</v>
      </c>
      <c r="I51" s="20" t="s">
        <v>2161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2212</v>
      </c>
      <c r="D52" s="10" t="s">
        <v>2213</v>
      </c>
      <c r="E52" s="12" t="s">
        <v>62</v>
      </c>
      <c r="F52" s="20" t="s">
        <v>412</v>
      </c>
      <c r="G52" s="20" t="s">
        <v>397</v>
      </c>
      <c r="H52" s="20">
        <v>4</v>
      </c>
      <c r="I52" s="20" t="s">
        <v>2161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2214</v>
      </c>
      <c r="D53" s="10" t="s">
        <v>1012</v>
      </c>
      <c r="E53" s="12" t="s">
        <v>62</v>
      </c>
      <c r="F53" s="20" t="s">
        <v>420</v>
      </c>
      <c r="G53" s="20" t="s">
        <v>397</v>
      </c>
      <c r="H53" s="20">
        <v>4</v>
      </c>
      <c r="I53" s="20" t="s">
        <v>2161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2215</v>
      </c>
      <c r="D54" s="10" t="s">
        <v>64</v>
      </c>
      <c r="E54" s="12" t="s">
        <v>65</v>
      </c>
      <c r="F54" s="20" t="s">
        <v>456</v>
      </c>
      <c r="G54" s="20" t="s">
        <v>397</v>
      </c>
      <c r="H54" s="20">
        <v>4</v>
      </c>
      <c r="I54" s="20" t="s">
        <v>2161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2216</v>
      </c>
      <c r="D55" s="10" t="s">
        <v>2217</v>
      </c>
      <c r="E55" s="12" t="s">
        <v>1647</v>
      </c>
      <c r="F55" s="20" t="s">
        <v>405</v>
      </c>
      <c r="G55" s="20" t="s">
        <v>397</v>
      </c>
      <c r="H55" s="20">
        <v>4</v>
      </c>
      <c r="I55" s="20" t="s">
        <v>2161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2218</v>
      </c>
      <c r="D56" s="10" t="s">
        <v>76</v>
      </c>
      <c r="E56" s="12" t="s">
        <v>67</v>
      </c>
      <c r="F56" s="20" t="s">
        <v>432</v>
      </c>
      <c r="G56" s="20" t="s">
        <v>397</v>
      </c>
      <c r="H56" s="20">
        <v>4</v>
      </c>
      <c r="I56" s="20" t="s">
        <v>2161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2219</v>
      </c>
      <c r="D57" s="10" t="s">
        <v>2220</v>
      </c>
      <c r="E57" s="12" t="s">
        <v>2221</v>
      </c>
      <c r="F57" s="20" t="s">
        <v>82</v>
      </c>
      <c r="G57" s="20" t="s">
        <v>397</v>
      </c>
      <c r="H57" s="20">
        <v>4</v>
      </c>
      <c r="I57" s="20" t="s">
        <v>2161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2222</v>
      </c>
      <c r="D58" s="10" t="s">
        <v>63</v>
      </c>
      <c r="E58" s="12" t="s">
        <v>483</v>
      </c>
      <c r="F58" s="20" t="s">
        <v>432</v>
      </c>
      <c r="G58" s="20" t="s">
        <v>397</v>
      </c>
      <c r="H58" s="20">
        <v>4</v>
      </c>
      <c r="I58" s="20" t="s">
        <v>2161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2223</v>
      </c>
      <c r="D59" s="10" t="s">
        <v>76</v>
      </c>
      <c r="E59" s="12" t="s">
        <v>880</v>
      </c>
      <c r="F59" s="20" t="s">
        <v>40</v>
      </c>
      <c r="G59" s="20" t="s">
        <v>397</v>
      </c>
      <c r="H59" s="20">
        <v>4</v>
      </c>
      <c r="I59" s="20" t="s">
        <v>2161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2224</v>
      </c>
      <c r="D60" s="10" t="s">
        <v>32</v>
      </c>
      <c r="E60" s="12" t="s">
        <v>192</v>
      </c>
      <c r="F60" s="20" t="s">
        <v>456</v>
      </c>
      <c r="G60" s="20" t="s">
        <v>397</v>
      </c>
      <c r="H60" s="20">
        <v>4</v>
      </c>
      <c r="I60" s="20" t="s">
        <v>2161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2225</v>
      </c>
      <c r="D61" s="10" t="s">
        <v>2226</v>
      </c>
      <c r="E61" s="12" t="s">
        <v>75</v>
      </c>
      <c r="F61" s="20" t="s">
        <v>1607</v>
      </c>
      <c r="G61" s="20" t="s">
        <v>397</v>
      </c>
      <c r="H61" s="20">
        <v>4</v>
      </c>
      <c r="I61" s="20" t="s">
        <v>2161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2227</v>
      </c>
      <c r="D62" s="10" t="s">
        <v>1816</v>
      </c>
      <c r="E62" s="12" t="s">
        <v>75</v>
      </c>
      <c r="F62" s="20" t="s">
        <v>82</v>
      </c>
      <c r="G62" s="20" t="s">
        <v>397</v>
      </c>
      <c r="H62" s="20">
        <v>4</v>
      </c>
      <c r="I62" s="20" t="s">
        <v>2161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2228</v>
      </c>
      <c r="D63" s="10" t="s">
        <v>2229</v>
      </c>
      <c r="E63" s="12" t="s">
        <v>75</v>
      </c>
      <c r="F63" s="20" t="s">
        <v>432</v>
      </c>
      <c r="G63" s="20" t="s">
        <v>397</v>
      </c>
      <c r="H63" s="20">
        <v>4</v>
      </c>
      <c r="I63" s="20" t="s">
        <v>2161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2230</v>
      </c>
      <c r="D64" s="10" t="s">
        <v>78</v>
      </c>
      <c r="E64" s="12" t="s">
        <v>77</v>
      </c>
      <c r="F64" s="20" t="s">
        <v>410</v>
      </c>
      <c r="G64" s="20" t="s">
        <v>397</v>
      </c>
      <c r="H64" s="20">
        <v>4</v>
      </c>
      <c r="I64" s="20" t="s">
        <v>2161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2231</v>
      </c>
      <c r="D65" s="10" t="s">
        <v>2232</v>
      </c>
      <c r="E65" s="12" t="s">
        <v>147</v>
      </c>
      <c r="F65" s="20" t="s">
        <v>38</v>
      </c>
      <c r="G65" s="20" t="s">
        <v>397</v>
      </c>
      <c r="H65" s="20">
        <v>4</v>
      </c>
      <c r="I65" s="20" t="s">
        <v>2161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2233</v>
      </c>
      <c r="D66" s="10" t="s">
        <v>76</v>
      </c>
      <c r="E66" s="12" t="s">
        <v>2234</v>
      </c>
      <c r="F66" s="20" t="s">
        <v>456</v>
      </c>
      <c r="G66" s="20" t="s">
        <v>397</v>
      </c>
      <c r="H66" s="20">
        <v>4</v>
      </c>
      <c r="I66" s="20" t="s">
        <v>2161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1" t="s">
        <v>2235</v>
      </c>
      <c r="D67" s="9" t="s">
        <v>221</v>
      </c>
      <c r="E67" s="11" t="s">
        <v>149</v>
      </c>
      <c r="F67" s="19" t="s">
        <v>396</v>
      </c>
      <c r="G67" s="19" t="s">
        <v>397</v>
      </c>
      <c r="H67" s="19">
        <v>4</v>
      </c>
      <c r="I67" s="19" t="s">
        <v>2161</v>
      </c>
      <c r="J67" s="17" t="s">
        <v>13</v>
      </c>
      <c r="K67" s="17" t="s">
        <v>13</v>
      </c>
      <c r="L67" s="17" t="s">
        <v>13</v>
      </c>
      <c r="M67" s="17" t="s">
        <v>13</v>
      </c>
      <c r="N67" s="14" t="str">
        <f>+IF(OR($J67=0,$K67=0,$L67=0,$M67=0),"Không đủ ĐKDT","")</f>
        <v/>
      </c>
    </row>
    <row r="68" spans="2:14" ht="16.5" customHeight="1">
      <c r="B68" s="15">
        <v>59</v>
      </c>
      <c r="C68" s="22" t="s">
        <v>2236</v>
      </c>
      <c r="D68" s="10" t="s">
        <v>2237</v>
      </c>
      <c r="E68" s="12" t="s">
        <v>86</v>
      </c>
      <c r="F68" s="20" t="s">
        <v>456</v>
      </c>
      <c r="G68" s="20" t="s">
        <v>397</v>
      </c>
      <c r="H68" s="20">
        <v>4</v>
      </c>
      <c r="I68" s="20" t="s">
        <v>2161</v>
      </c>
      <c r="J68" s="18" t="s">
        <v>13</v>
      </c>
      <c r="K68" s="18" t="s">
        <v>13</v>
      </c>
      <c r="L68" s="18" t="s">
        <v>13</v>
      </c>
      <c r="M68" s="18" t="s">
        <v>13</v>
      </c>
      <c r="N68" s="16" t="str">
        <f>+IF(OR($J68=0,$K68=0,$L68=0,$M68=0),"Không đủ ĐKDT","")</f>
        <v/>
      </c>
    </row>
    <row r="69" spans="2:14" ht="16.5" customHeight="1">
      <c r="B69" s="15">
        <v>60</v>
      </c>
      <c r="C69" s="22" t="s">
        <v>2238</v>
      </c>
      <c r="D69" s="10" t="s">
        <v>2239</v>
      </c>
      <c r="E69" s="12" t="s">
        <v>195</v>
      </c>
      <c r="F69" s="20" t="s">
        <v>410</v>
      </c>
      <c r="G69" s="20" t="s">
        <v>397</v>
      </c>
      <c r="H69" s="20">
        <v>4</v>
      </c>
      <c r="I69" s="20" t="s">
        <v>2161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 t="shared" ref="N69:N94" si="2">+IF(OR($J69=0,$K69=0,$L69=0,$M69=0),"Không đủ ĐKDT","")</f>
        <v/>
      </c>
    </row>
    <row r="70" spans="2:14" ht="16.5" customHeight="1">
      <c r="B70" s="15">
        <v>61</v>
      </c>
      <c r="C70" s="22" t="s">
        <v>2240</v>
      </c>
      <c r="D70" s="10" t="s">
        <v>2241</v>
      </c>
      <c r="E70" s="12" t="s">
        <v>196</v>
      </c>
      <c r="F70" s="20" t="s">
        <v>40</v>
      </c>
      <c r="G70" s="20" t="s">
        <v>397</v>
      </c>
      <c r="H70" s="20">
        <v>4</v>
      </c>
      <c r="I70" s="20" t="s">
        <v>2161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si="2"/>
        <v/>
      </c>
    </row>
    <row r="71" spans="2:14" ht="16.5" customHeight="1">
      <c r="B71" s="15">
        <v>62</v>
      </c>
      <c r="C71" s="22" t="s">
        <v>2242</v>
      </c>
      <c r="D71" s="10" t="s">
        <v>2243</v>
      </c>
      <c r="E71" s="12" t="s">
        <v>91</v>
      </c>
      <c r="F71" s="20" t="s">
        <v>38</v>
      </c>
      <c r="G71" s="20" t="s">
        <v>397</v>
      </c>
      <c r="H71" s="20">
        <v>4</v>
      </c>
      <c r="I71" s="20" t="s">
        <v>2161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2244</v>
      </c>
      <c r="D72" s="10" t="s">
        <v>2245</v>
      </c>
      <c r="E72" s="12" t="s">
        <v>93</v>
      </c>
      <c r="F72" s="20" t="s">
        <v>432</v>
      </c>
      <c r="G72" s="20" t="s">
        <v>397</v>
      </c>
      <c r="H72" s="20">
        <v>4</v>
      </c>
      <c r="I72" s="20" t="s">
        <v>2161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2246</v>
      </c>
      <c r="D73" s="10" t="s">
        <v>2247</v>
      </c>
      <c r="E73" s="12" t="s">
        <v>93</v>
      </c>
      <c r="F73" s="20" t="s">
        <v>43</v>
      </c>
      <c r="G73" s="20" t="s">
        <v>397</v>
      </c>
      <c r="H73" s="20">
        <v>4</v>
      </c>
      <c r="I73" s="20" t="s">
        <v>2161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2248</v>
      </c>
      <c r="D74" s="10" t="s">
        <v>2249</v>
      </c>
      <c r="E74" s="12" t="s">
        <v>93</v>
      </c>
      <c r="F74" s="20" t="s">
        <v>38</v>
      </c>
      <c r="G74" s="20" t="s">
        <v>397</v>
      </c>
      <c r="H74" s="20">
        <v>4</v>
      </c>
      <c r="I74" s="20" t="s">
        <v>2161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2250</v>
      </c>
      <c r="D75" s="10" t="s">
        <v>70</v>
      </c>
      <c r="E75" s="12" t="s">
        <v>96</v>
      </c>
      <c r="F75" s="20" t="s">
        <v>456</v>
      </c>
      <c r="G75" s="20" t="s">
        <v>397</v>
      </c>
      <c r="H75" s="20">
        <v>4</v>
      </c>
      <c r="I75" s="20" t="s">
        <v>2161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2251</v>
      </c>
      <c r="D76" s="10" t="s">
        <v>273</v>
      </c>
      <c r="E76" s="12" t="s">
        <v>96</v>
      </c>
      <c r="F76" s="20" t="s">
        <v>396</v>
      </c>
      <c r="G76" s="20" t="s">
        <v>397</v>
      </c>
      <c r="H76" s="20">
        <v>4</v>
      </c>
      <c r="I76" s="20" t="s">
        <v>2161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2252</v>
      </c>
      <c r="D77" s="10" t="s">
        <v>293</v>
      </c>
      <c r="E77" s="12" t="s">
        <v>152</v>
      </c>
      <c r="F77" s="20" t="s">
        <v>52</v>
      </c>
      <c r="G77" s="20" t="s">
        <v>397</v>
      </c>
      <c r="H77" s="20">
        <v>4</v>
      </c>
      <c r="I77" s="20" t="s">
        <v>2161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2253</v>
      </c>
      <c r="D78" s="10" t="s">
        <v>967</v>
      </c>
      <c r="E78" s="12" t="s">
        <v>97</v>
      </c>
      <c r="F78" s="20" t="s">
        <v>468</v>
      </c>
      <c r="G78" s="20" t="s">
        <v>397</v>
      </c>
      <c r="H78" s="20">
        <v>4</v>
      </c>
      <c r="I78" s="20" t="s">
        <v>2161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2254</v>
      </c>
      <c r="D79" s="10" t="s">
        <v>133</v>
      </c>
      <c r="E79" s="12" t="s">
        <v>97</v>
      </c>
      <c r="F79" s="20" t="s">
        <v>40</v>
      </c>
      <c r="G79" s="20" t="s">
        <v>397</v>
      </c>
      <c r="H79" s="20">
        <v>4</v>
      </c>
      <c r="I79" s="20" t="s">
        <v>2161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2255</v>
      </c>
      <c r="D80" s="10" t="s">
        <v>2256</v>
      </c>
      <c r="E80" s="12" t="s">
        <v>97</v>
      </c>
      <c r="F80" s="20" t="s">
        <v>456</v>
      </c>
      <c r="G80" s="20" t="s">
        <v>397</v>
      </c>
      <c r="H80" s="20">
        <v>4</v>
      </c>
      <c r="I80" s="20" t="s">
        <v>2161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2257</v>
      </c>
      <c r="D81" s="10" t="s">
        <v>280</v>
      </c>
      <c r="E81" s="12" t="s">
        <v>97</v>
      </c>
      <c r="F81" s="20" t="s">
        <v>43</v>
      </c>
      <c r="G81" s="20" t="s">
        <v>397</v>
      </c>
      <c r="H81" s="20">
        <v>4</v>
      </c>
      <c r="I81" s="20" t="s">
        <v>2161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2258</v>
      </c>
      <c r="D82" s="10" t="s">
        <v>808</v>
      </c>
      <c r="E82" s="12" t="s">
        <v>97</v>
      </c>
      <c r="F82" s="20" t="s">
        <v>38</v>
      </c>
      <c r="G82" s="20" t="s">
        <v>397</v>
      </c>
      <c r="H82" s="20">
        <v>4</v>
      </c>
      <c r="I82" s="20" t="s">
        <v>2161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2259</v>
      </c>
      <c r="D83" s="10" t="s">
        <v>2108</v>
      </c>
      <c r="E83" s="12" t="s">
        <v>153</v>
      </c>
      <c r="F83" s="20" t="s">
        <v>82</v>
      </c>
      <c r="G83" s="20" t="s">
        <v>397</v>
      </c>
      <c r="H83" s="20">
        <v>4</v>
      </c>
      <c r="I83" s="20" t="s">
        <v>2161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2260</v>
      </c>
      <c r="D84" s="10" t="s">
        <v>2261</v>
      </c>
      <c r="E84" s="12" t="s">
        <v>156</v>
      </c>
      <c r="F84" s="20" t="s">
        <v>38</v>
      </c>
      <c r="G84" s="20" t="s">
        <v>397</v>
      </c>
      <c r="H84" s="20">
        <v>4</v>
      </c>
      <c r="I84" s="20" t="s">
        <v>2161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2262</v>
      </c>
      <c r="D85" s="10" t="s">
        <v>1103</v>
      </c>
      <c r="E85" s="12" t="s">
        <v>158</v>
      </c>
      <c r="F85" s="20" t="s">
        <v>412</v>
      </c>
      <c r="G85" s="20" t="s">
        <v>397</v>
      </c>
      <c r="H85" s="20">
        <v>4</v>
      </c>
      <c r="I85" s="20" t="s">
        <v>2161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2263</v>
      </c>
      <c r="D86" s="10" t="s">
        <v>63</v>
      </c>
      <c r="E86" s="12" t="s">
        <v>784</v>
      </c>
      <c r="F86" s="20" t="s">
        <v>38</v>
      </c>
      <c r="G86" s="20" t="s">
        <v>397</v>
      </c>
      <c r="H86" s="20">
        <v>4</v>
      </c>
      <c r="I86" s="20" t="s">
        <v>2161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2264</v>
      </c>
      <c r="D87" s="10" t="s">
        <v>2265</v>
      </c>
      <c r="E87" s="12" t="s">
        <v>161</v>
      </c>
      <c r="F87" s="20" t="s">
        <v>38</v>
      </c>
      <c r="G87" s="20" t="s">
        <v>397</v>
      </c>
      <c r="H87" s="20">
        <v>4</v>
      </c>
      <c r="I87" s="20" t="s">
        <v>2161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2266</v>
      </c>
      <c r="D88" s="10" t="s">
        <v>2267</v>
      </c>
      <c r="E88" s="12" t="s">
        <v>162</v>
      </c>
      <c r="F88" s="20" t="s">
        <v>396</v>
      </c>
      <c r="G88" s="20" t="s">
        <v>397</v>
      </c>
      <c r="H88" s="20">
        <v>4</v>
      </c>
      <c r="I88" s="20" t="s">
        <v>2161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2268</v>
      </c>
      <c r="D89" s="10" t="s">
        <v>2269</v>
      </c>
      <c r="E89" s="12" t="s">
        <v>166</v>
      </c>
      <c r="F89" s="20" t="s">
        <v>82</v>
      </c>
      <c r="G89" s="20" t="s">
        <v>397</v>
      </c>
      <c r="H89" s="20">
        <v>4</v>
      </c>
      <c r="I89" s="20" t="s">
        <v>2161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2270</v>
      </c>
      <c r="D90" s="10" t="s">
        <v>2271</v>
      </c>
      <c r="E90" s="12" t="s">
        <v>122</v>
      </c>
      <c r="F90" s="20" t="s">
        <v>410</v>
      </c>
      <c r="G90" s="20" t="s">
        <v>397</v>
      </c>
      <c r="H90" s="20">
        <v>4</v>
      </c>
      <c r="I90" s="20" t="s">
        <v>2161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2272</v>
      </c>
      <c r="D91" s="10" t="s">
        <v>2273</v>
      </c>
      <c r="E91" s="12" t="s">
        <v>128</v>
      </c>
      <c r="F91" s="20" t="s">
        <v>396</v>
      </c>
      <c r="G91" s="20" t="s">
        <v>397</v>
      </c>
      <c r="H91" s="20">
        <v>4</v>
      </c>
      <c r="I91" s="20" t="s">
        <v>2161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2274</v>
      </c>
      <c r="D92" s="10" t="s">
        <v>204</v>
      </c>
      <c r="E92" s="12" t="s">
        <v>203</v>
      </c>
      <c r="F92" s="20" t="s">
        <v>52</v>
      </c>
      <c r="G92" s="20" t="s">
        <v>397</v>
      </c>
      <c r="H92" s="20">
        <v>4</v>
      </c>
      <c r="I92" s="20" t="s">
        <v>2161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2275</v>
      </c>
      <c r="D93" s="10" t="s">
        <v>76</v>
      </c>
      <c r="E93" s="12" t="s">
        <v>2276</v>
      </c>
      <c r="F93" s="20" t="s">
        <v>82</v>
      </c>
      <c r="G93" s="20" t="s">
        <v>397</v>
      </c>
      <c r="H93" s="20">
        <v>4</v>
      </c>
      <c r="I93" s="20" t="s">
        <v>2161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2277</v>
      </c>
      <c r="D94" s="10" t="s">
        <v>708</v>
      </c>
      <c r="E94" s="12" t="s">
        <v>278</v>
      </c>
      <c r="F94" s="20" t="s">
        <v>82</v>
      </c>
      <c r="G94" s="20" t="s">
        <v>397</v>
      </c>
      <c r="H94" s="20">
        <v>4</v>
      </c>
      <c r="I94" s="20" t="s">
        <v>2161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9.5" customHeight="1">
      <c r="B95" s="64" t="s">
        <v>20</v>
      </c>
      <c r="C95" s="64"/>
      <c r="D95" s="64"/>
      <c r="E95" s="64"/>
    </row>
    <row r="96" spans="2:14" ht="19.5" customHeight="1">
      <c r="B96" s="64" t="s">
        <v>20</v>
      </c>
      <c r="C96" s="64"/>
      <c r="D96" s="64"/>
      <c r="E96" s="64"/>
    </row>
    <row r="97" spans="2:14" ht="19.5" customHeight="1">
      <c r="B97" s="55" t="str">
        <f>"Điểm chuyên cần: " &amp; $J$9 &amp; "% "</f>
        <v xml:space="preserve">Điểm chuyên cần: % </v>
      </c>
      <c r="C97" s="55"/>
      <c r="D97" s="55"/>
      <c r="E97" s="55"/>
    </row>
    <row r="98" spans="2:14" ht="19.5" customHeight="1">
      <c r="B98" s="55" t="str">
        <f>"Điểm trung bình kiểm tra: "&amp;$K$9&amp;"%"</f>
        <v>Điểm trung bình kiểm tra: %</v>
      </c>
      <c r="C98" s="55"/>
      <c r="D98" s="55"/>
      <c r="E98" s="55"/>
    </row>
    <row r="99" spans="2:14" ht="19.5" customHeight="1">
      <c r="B99" s="55" t="str">
        <f>"Điểm thí nghiệm, thực hành: "&amp;$L$9&amp;"%"</f>
        <v>Điểm thí nghiệm, thực hành: %</v>
      </c>
      <c r="C99" s="55"/>
      <c r="D99" s="55"/>
      <c r="E99" s="55"/>
    </row>
    <row r="100" spans="2:14" ht="19.5" customHeight="1">
      <c r="B100" s="55" t="str">
        <f>"Điểm bài tập tiểu luận, seminar: "&amp;$M$9&amp;"%"</f>
        <v>Điểm bài tập tiểu luận, seminar: %</v>
      </c>
      <c r="C100" s="55"/>
      <c r="D100" s="55"/>
      <c r="E100" s="55"/>
    </row>
    <row r="101" spans="2:14">
      <c r="J101" s="56" t="s">
        <v>21</v>
      </c>
      <c r="K101" s="56"/>
      <c r="L101" s="56"/>
      <c r="M101" s="56"/>
      <c r="N101" s="56"/>
    </row>
    <row r="102" spans="2:14" ht="32.25" customHeight="1">
      <c r="B102" s="57" t="s">
        <v>17</v>
      </c>
      <c r="C102" s="57"/>
      <c r="D102" s="57"/>
      <c r="E102" s="57"/>
      <c r="F102" s="28"/>
      <c r="G102" s="28"/>
      <c r="H102" s="28"/>
      <c r="I102" s="28"/>
      <c r="J102" s="57" t="s">
        <v>18</v>
      </c>
      <c r="K102" s="57"/>
      <c r="L102" s="57"/>
      <c r="M102" s="57"/>
      <c r="N102" s="57"/>
    </row>
    <row r="108" spans="2:14">
      <c r="J108" s="58"/>
      <c r="K108" s="58"/>
      <c r="L108" s="58"/>
      <c r="M108" s="58"/>
      <c r="N108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5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9:E99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6:E96"/>
    <mergeCell ref="B97:E97"/>
    <mergeCell ref="B98:E98"/>
    <mergeCell ref="L7:L8"/>
    <mergeCell ref="M7:M8"/>
    <mergeCell ref="B95:E95"/>
    <mergeCell ref="B100:E100"/>
    <mergeCell ref="J101:N101"/>
    <mergeCell ref="B102:E102"/>
    <mergeCell ref="J102:N102"/>
    <mergeCell ref="J108:N108"/>
  </mergeCells>
  <conditionalFormatting sqref="J10:M10">
    <cfRule type="cellIs" dxfId="657" priority="55" stopIfTrue="1" operator="greaterThan">
      <formula>10</formula>
    </cfRule>
    <cfRule type="cellIs" dxfId="656" priority="56" stopIfTrue="1" operator="greaterThan">
      <formula>10</formula>
    </cfRule>
    <cfRule type="cellIs" dxfId="655" priority="57" stopIfTrue="1" operator="greaterThan">
      <formula>10</formula>
    </cfRule>
    <cfRule type="cellIs" dxfId="654" priority="58" stopIfTrue="1" operator="greaterThan">
      <formula>10</formula>
    </cfRule>
  </conditionalFormatting>
  <conditionalFormatting sqref="J11:M13">
    <cfRule type="cellIs" dxfId="653" priority="51" stopIfTrue="1" operator="greaterThan">
      <formula>10</formula>
    </cfRule>
    <cfRule type="cellIs" dxfId="652" priority="52" stopIfTrue="1" operator="greaterThan">
      <formula>10</formula>
    </cfRule>
    <cfRule type="cellIs" dxfId="651" priority="53" stopIfTrue="1" operator="greaterThan">
      <formula>10</formula>
    </cfRule>
    <cfRule type="cellIs" dxfId="650" priority="54" stopIfTrue="1" operator="greaterThan">
      <formula>10</formula>
    </cfRule>
  </conditionalFormatting>
  <conditionalFormatting sqref="J14:M15 J23:M38">
    <cfRule type="cellIs" dxfId="649" priority="47" stopIfTrue="1" operator="greaterThan">
      <formula>10</formula>
    </cfRule>
    <cfRule type="cellIs" dxfId="648" priority="48" stopIfTrue="1" operator="greaterThan">
      <formula>10</formula>
    </cfRule>
    <cfRule type="cellIs" dxfId="647" priority="49" stopIfTrue="1" operator="greaterThan">
      <formula>10</formula>
    </cfRule>
    <cfRule type="cellIs" dxfId="646" priority="50" stopIfTrue="1" operator="greaterThan">
      <formula>10</formula>
    </cfRule>
  </conditionalFormatting>
  <conditionalFormatting sqref="J16:M22">
    <cfRule type="cellIs" dxfId="645" priority="41" stopIfTrue="1" operator="greaterThan">
      <formula>10</formula>
    </cfRule>
    <cfRule type="cellIs" dxfId="644" priority="42" stopIfTrue="1" operator="greaterThan">
      <formula>10</formula>
    </cfRule>
    <cfRule type="cellIs" dxfId="643" priority="43" stopIfTrue="1" operator="greaterThan">
      <formula>10</formula>
    </cfRule>
    <cfRule type="cellIs" dxfId="642" priority="44" stopIfTrue="1" operator="greaterThan">
      <formula>10</formula>
    </cfRule>
  </conditionalFormatting>
  <conditionalFormatting sqref="C16:C22">
    <cfRule type="duplicateValues" dxfId="641" priority="45" stopIfTrue="1"/>
    <cfRule type="duplicateValues" dxfId="640" priority="46" stopIfTrue="1"/>
  </conditionalFormatting>
  <conditionalFormatting sqref="C10:C15 C23:C38">
    <cfRule type="duplicateValues" dxfId="639" priority="263" stopIfTrue="1"/>
    <cfRule type="duplicateValues" dxfId="638" priority="264" stopIfTrue="1"/>
  </conditionalFormatting>
  <conditionalFormatting sqref="J39:M39">
    <cfRule type="cellIs" dxfId="637" priority="35" stopIfTrue="1" operator="greaterThan">
      <formula>10</formula>
    </cfRule>
    <cfRule type="cellIs" dxfId="636" priority="36" stopIfTrue="1" operator="greaterThan">
      <formula>10</formula>
    </cfRule>
    <cfRule type="cellIs" dxfId="635" priority="37" stopIfTrue="1" operator="greaterThan">
      <formula>10</formula>
    </cfRule>
    <cfRule type="cellIs" dxfId="634" priority="38" stopIfTrue="1" operator="greaterThan">
      <formula>10</formula>
    </cfRule>
  </conditionalFormatting>
  <conditionalFormatting sqref="J40:M42">
    <cfRule type="cellIs" dxfId="633" priority="31" stopIfTrue="1" operator="greaterThan">
      <formula>10</formula>
    </cfRule>
    <cfRule type="cellIs" dxfId="632" priority="32" stopIfTrue="1" operator="greaterThan">
      <formula>10</formula>
    </cfRule>
    <cfRule type="cellIs" dxfId="631" priority="33" stopIfTrue="1" operator="greaterThan">
      <formula>10</formula>
    </cfRule>
    <cfRule type="cellIs" dxfId="630" priority="34" stopIfTrue="1" operator="greaterThan">
      <formula>10</formula>
    </cfRule>
  </conditionalFormatting>
  <conditionalFormatting sqref="J43:M44 J52:M66">
    <cfRule type="cellIs" dxfId="629" priority="27" stopIfTrue="1" operator="greaterThan">
      <formula>10</formula>
    </cfRule>
    <cfRule type="cellIs" dxfId="628" priority="28" stopIfTrue="1" operator="greaterThan">
      <formula>10</formula>
    </cfRule>
    <cfRule type="cellIs" dxfId="627" priority="29" stopIfTrue="1" operator="greaterThan">
      <formula>10</formula>
    </cfRule>
    <cfRule type="cellIs" dxfId="626" priority="30" stopIfTrue="1" operator="greaterThan">
      <formula>10</formula>
    </cfRule>
  </conditionalFormatting>
  <conditionalFormatting sqref="J45:M51">
    <cfRule type="cellIs" dxfId="625" priority="21" stopIfTrue="1" operator="greaterThan">
      <formula>10</formula>
    </cfRule>
    <cfRule type="cellIs" dxfId="624" priority="22" stopIfTrue="1" operator="greaterThan">
      <formula>10</formula>
    </cfRule>
    <cfRule type="cellIs" dxfId="623" priority="23" stopIfTrue="1" operator="greaterThan">
      <formula>10</formula>
    </cfRule>
    <cfRule type="cellIs" dxfId="622" priority="24" stopIfTrue="1" operator="greaterThan">
      <formula>10</formula>
    </cfRule>
  </conditionalFormatting>
  <conditionalFormatting sqref="C45:C51">
    <cfRule type="duplicateValues" dxfId="621" priority="25" stopIfTrue="1"/>
    <cfRule type="duplicateValues" dxfId="620" priority="26" stopIfTrue="1"/>
  </conditionalFormatting>
  <conditionalFormatting sqref="C39:C44 C52:C66">
    <cfRule type="duplicateValues" dxfId="619" priority="39" stopIfTrue="1"/>
    <cfRule type="duplicateValues" dxfId="618" priority="40" stopIfTrue="1"/>
  </conditionalFormatting>
  <conditionalFormatting sqref="J67:M67">
    <cfRule type="cellIs" dxfId="617" priority="15" stopIfTrue="1" operator="greaterThan">
      <formula>10</formula>
    </cfRule>
    <cfRule type="cellIs" dxfId="616" priority="16" stopIfTrue="1" operator="greaterThan">
      <formula>10</formula>
    </cfRule>
    <cfRule type="cellIs" dxfId="615" priority="17" stopIfTrue="1" operator="greaterThan">
      <formula>10</formula>
    </cfRule>
    <cfRule type="cellIs" dxfId="614" priority="18" stopIfTrue="1" operator="greaterThan">
      <formula>10</formula>
    </cfRule>
  </conditionalFormatting>
  <conditionalFormatting sqref="J68:M70">
    <cfRule type="cellIs" dxfId="613" priority="11" stopIfTrue="1" operator="greaterThan">
      <formula>10</formula>
    </cfRule>
    <cfRule type="cellIs" dxfId="612" priority="12" stopIfTrue="1" operator="greaterThan">
      <formula>10</formula>
    </cfRule>
    <cfRule type="cellIs" dxfId="611" priority="13" stopIfTrue="1" operator="greaterThan">
      <formula>10</formula>
    </cfRule>
    <cfRule type="cellIs" dxfId="610" priority="14" stopIfTrue="1" operator="greaterThan">
      <formula>10</formula>
    </cfRule>
  </conditionalFormatting>
  <conditionalFormatting sqref="J71:M72 J80:M94">
    <cfRule type="cellIs" dxfId="609" priority="7" stopIfTrue="1" operator="greaterThan">
      <formula>10</formula>
    </cfRule>
    <cfRule type="cellIs" dxfId="608" priority="8" stopIfTrue="1" operator="greaterThan">
      <formula>10</formula>
    </cfRule>
    <cfRule type="cellIs" dxfId="607" priority="9" stopIfTrue="1" operator="greaterThan">
      <formula>10</formula>
    </cfRule>
    <cfRule type="cellIs" dxfId="606" priority="10" stopIfTrue="1" operator="greaterThan">
      <formula>10</formula>
    </cfRule>
  </conditionalFormatting>
  <conditionalFormatting sqref="J73:M79">
    <cfRule type="cellIs" dxfId="605" priority="1" stopIfTrue="1" operator="greaterThan">
      <formula>10</formula>
    </cfRule>
    <cfRule type="cellIs" dxfId="604" priority="2" stopIfTrue="1" operator="greaterThan">
      <formula>10</formula>
    </cfRule>
    <cfRule type="cellIs" dxfId="603" priority="3" stopIfTrue="1" operator="greaterThan">
      <formula>10</formula>
    </cfRule>
    <cfRule type="cellIs" dxfId="602" priority="4" stopIfTrue="1" operator="greaterThan">
      <formula>10</formula>
    </cfRule>
  </conditionalFormatting>
  <conditionalFormatting sqref="C73:C79">
    <cfRule type="duplicateValues" dxfId="601" priority="5" stopIfTrue="1"/>
    <cfRule type="duplicateValues" dxfId="600" priority="6" stopIfTrue="1"/>
  </conditionalFormatting>
  <conditionalFormatting sqref="C67:C72 C80:C94">
    <cfRule type="duplicateValues" dxfId="599" priority="19" stopIfTrue="1"/>
    <cfRule type="duplicateValues" dxfId="598" priority="20" stopIfTrue="1"/>
  </conditionalFormatting>
  <dataValidations count="1">
    <dataValidation type="decimal" allowBlank="1" showInputMessage="1" showErrorMessage="1" error="Sai định dạng" sqref="J10:M94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B1:N108"/>
  <sheetViews>
    <sheetView topLeftCell="A84" workbookViewId="0">
      <selection activeCell="B11" sqref="B11:B95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BAS1224_09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2045</v>
      </c>
      <c r="D10" s="9" t="s">
        <v>174</v>
      </c>
      <c r="E10" s="11" t="s">
        <v>27</v>
      </c>
      <c r="F10" s="19" t="s">
        <v>82</v>
      </c>
      <c r="G10" s="19" t="s">
        <v>397</v>
      </c>
      <c r="H10" s="19">
        <v>4</v>
      </c>
      <c r="I10" s="19" t="s">
        <v>2046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2047</v>
      </c>
      <c r="D11" s="10" t="s">
        <v>76</v>
      </c>
      <c r="E11" s="12" t="s">
        <v>2048</v>
      </c>
      <c r="F11" s="20" t="s">
        <v>52</v>
      </c>
      <c r="G11" s="20" t="s">
        <v>397</v>
      </c>
      <c r="H11" s="20">
        <v>4</v>
      </c>
      <c r="I11" s="20" t="s">
        <v>2046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2049</v>
      </c>
      <c r="D12" s="10" t="s">
        <v>2050</v>
      </c>
      <c r="E12" s="12" t="s">
        <v>1828</v>
      </c>
      <c r="F12" s="20" t="s">
        <v>432</v>
      </c>
      <c r="G12" s="20" t="s">
        <v>397</v>
      </c>
      <c r="H12" s="20">
        <v>4</v>
      </c>
      <c r="I12" s="20" t="s">
        <v>2046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2051</v>
      </c>
      <c r="D13" s="10" t="s">
        <v>76</v>
      </c>
      <c r="E13" s="12" t="s">
        <v>180</v>
      </c>
      <c r="F13" s="20" t="s">
        <v>52</v>
      </c>
      <c r="G13" s="20" t="s">
        <v>397</v>
      </c>
      <c r="H13" s="20">
        <v>4</v>
      </c>
      <c r="I13" s="20" t="s">
        <v>2046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2052</v>
      </c>
      <c r="D14" s="10" t="s">
        <v>78</v>
      </c>
      <c r="E14" s="12" t="s">
        <v>180</v>
      </c>
      <c r="F14" s="20" t="s">
        <v>683</v>
      </c>
      <c r="G14" s="20" t="s">
        <v>397</v>
      </c>
      <c r="H14" s="20">
        <v>4</v>
      </c>
      <c r="I14" s="20" t="s">
        <v>2046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2053</v>
      </c>
      <c r="D15" s="10" t="s">
        <v>76</v>
      </c>
      <c r="E15" s="12" t="s">
        <v>36</v>
      </c>
      <c r="F15" s="20" t="s">
        <v>30</v>
      </c>
      <c r="G15" s="20" t="s">
        <v>397</v>
      </c>
      <c r="H15" s="20">
        <v>4</v>
      </c>
      <c r="I15" s="20" t="s">
        <v>2046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2054</v>
      </c>
      <c r="D16" s="10" t="s">
        <v>248</v>
      </c>
      <c r="E16" s="12" t="s">
        <v>136</v>
      </c>
      <c r="F16" s="20" t="s">
        <v>396</v>
      </c>
      <c r="G16" s="20" t="s">
        <v>397</v>
      </c>
      <c r="H16" s="20">
        <v>4</v>
      </c>
      <c r="I16" s="20" t="s">
        <v>2046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2055</v>
      </c>
      <c r="D17" s="10" t="s">
        <v>238</v>
      </c>
      <c r="E17" s="12" t="s">
        <v>136</v>
      </c>
      <c r="F17" s="20" t="s">
        <v>468</v>
      </c>
      <c r="G17" s="20" t="s">
        <v>397</v>
      </c>
      <c r="H17" s="20">
        <v>4</v>
      </c>
      <c r="I17" s="20" t="s">
        <v>2046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2056</v>
      </c>
      <c r="D18" s="10" t="s">
        <v>175</v>
      </c>
      <c r="E18" s="12" t="s">
        <v>136</v>
      </c>
      <c r="F18" s="20" t="s">
        <v>82</v>
      </c>
      <c r="G18" s="20" t="s">
        <v>397</v>
      </c>
      <c r="H18" s="20">
        <v>4</v>
      </c>
      <c r="I18" s="20" t="s">
        <v>2046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2057</v>
      </c>
      <c r="D19" s="10" t="s">
        <v>2058</v>
      </c>
      <c r="E19" s="12" t="s">
        <v>136</v>
      </c>
      <c r="F19" s="20" t="s">
        <v>405</v>
      </c>
      <c r="G19" s="20" t="s">
        <v>397</v>
      </c>
      <c r="H19" s="20">
        <v>4</v>
      </c>
      <c r="I19" s="20" t="s">
        <v>2046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2059</v>
      </c>
      <c r="D20" s="10" t="s">
        <v>76</v>
      </c>
      <c r="E20" s="12" t="s">
        <v>39</v>
      </c>
      <c r="F20" s="20" t="s">
        <v>117</v>
      </c>
      <c r="G20" s="20" t="s">
        <v>397</v>
      </c>
      <c r="H20" s="20">
        <v>4</v>
      </c>
      <c r="I20" s="20" t="s">
        <v>2046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2060</v>
      </c>
      <c r="D21" s="10" t="s">
        <v>938</v>
      </c>
      <c r="E21" s="12" t="s">
        <v>39</v>
      </c>
      <c r="F21" s="20" t="s">
        <v>690</v>
      </c>
      <c r="G21" s="20" t="s">
        <v>397</v>
      </c>
      <c r="H21" s="20">
        <v>4</v>
      </c>
      <c r="I21" s="20" t="s">
        <v>2046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2061</v>
      </c>
      <c r="D22" s="10" t="s">
        <v>2062</v>
      </c>
      <c r="E22" s="12" t="s">
        <v>39</v>
      </c>
      <c r="F22" s="20" t="s">
        <v>82</v>
      </c>
      <c r="G22" s="20" t="s">
        <v>397</v>
      </c>
      <c r="H22" s="20">
        <v>4</v>
      </c>
      <c r="I22" s="20" t="s">
        <v>2046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2063</v>
      </c>
      <c r="D23" s="10" t="s">
        <v>1369</v>
      </c>
      <c r="E23" s="12" t="s">
        <v>39</v>
      </c>
      <c r="F23" s="20" t="s">
        <v>444</v>
      </c>
      <c r="G23" s="20" t="s">
        <v>397</v>
      </c>
      <c r="H23" s="20">
        <v>4</v>
      </c>
      <c r="I23" s="20" t="s">
        <v>2046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2064</v>
      </c>
      <c r="D24" s="10" t="s">
        <v>175</v>
      </c>
      <c r="E24" s="12" t="s">
        <v>2065</v>
      </c>
      <c r="F24" s="20" t="s">
        <v>405</v>
      </c>
      <c r="G24" s="20" t="s">
        <v>397</v>
      </c>
      <c r="H24" s="20">
        <v>4</v>
      </c>
      <c r="I24" s="20" t="s">
        <v>2046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2066</v>
      </c>
      <c r="D25" s="10" t="s">
        <v>559</v>
      </c>
      <c r="E25" s="12" t="s">
        <v>44</v>
      </c>
      <c r="F25" s="20" t="s">
        <v>450</v>
      </c>
      <c r="G25" s="20" t="s">
        <v>397</v>
      </c>
      <c r="H25" s="20">
        <v>4</v>
      </c>
      <c r="I25" s="20" t="s">
        <v>2046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2067</v>
      </c>
      <c r="D26" s="10" t="s">
        <v>1681</v>
      </c>
      <c r="E26" s="12" t="s">
        <v>44</v>
      </c>
      <c r="F26" s="20" t="s">
        <v>420</v>
      </c>
      <c r="G26" s="20" t="s">
        <v>397</v>
      </c>
      <c r="H26" s="20">
        <v>4</v>
      </c>
      <c r="I26" s="20" t="s">
        <v>2046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2068</v>
      </c>
      <c r="D27" s="10" t="s">
        <v>150</v>
      </c>
      <c r="E27" s="12" t="s">
        <v>44</v>
      </c>
      <c r="F27" s="20" t="s">
        <v>444</v>
      </c>
      <c r="G27" s="20" t="s">
        <v>397</v>
      </c>
      <c r="H27" s="20">
        <v>4</v>
      </c>
      <c r="I27" s="20" t="s">
        <v>2046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2069</v>
      </c>
      <c r="D28" s="10" t="s">
        <v>61</v>
      </c>
      <c r="E28" s="12" t="s">
        <v>188</v>
      </c>
      <c r="F28" s="20" t="s">
        <v>696</v>
      </c>
      <c r="G28" s="20" t="s">
        <v>397</v>
      </c>
      <c r="H28" s="20">
        <v>4</v>
      </c>
      <c r="I28" s="20" t="s">
        <v>2046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2070</v>
      </c>
      <c r="D29" s="10" t="s">
        <v>2071</v>
      </c>
      <c r="E29" s="12" t="s">
        <v>46</v>
      </c>
      <c r="F29" s="20" t="s">
        <v>432</v>
      </c>
      <c r="G29" s="20" t="s">
        <v>397</v>
      </c>
      <c r="H29" s="20">
        <v>4</v>
      </c>
      <c r="I29" s="20" t="s">
        <v>2046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2072</v>
      </c>
      <c r="D30" s="10" t="s">
        <v>1095</v>
      </c>
      <c r="E30" s="12" t="s">
        <v>46</v>
      </c>
      <c r="F30" s="20" t="s">
        <v>456</v>
      </c>
      <c r="G30" s="20" t="s">
        <v>397</v>
      </c>
      <c r="H30" s="20">
        <v>4</v>
      </c>
      <c r="I30" s="20" t="s">
        <v>2046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2073</v>
      </c>
      <c r="D31" s="10" t="s">
        <v>191</v>
      </c>
      <c r="E31" s="12" t="s">
        <v>268</v>
      </c>
      <c r="F31" s="20" t="s">
        <v>420</v>
      </c>
      <c r="G31" s="20" t="s">
        <v>397</v>
      </c>
      <c r="H31" s="20">
        <v>4</v>
      </c>
      <c r="I31" s="20" t="s">
        <v>2046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2074</v>
      </c>
      <c r="D32" s="10" t="s">
        <v>434</v>
      </c>
      <c r="E32" s="12" t="s">
        <v>48</v>
      </c>
      <c r="F32" s="20" t="s">
        <v>38</v>
      </c>
      <c r="G32" s="20" t="s">
        <v>397</v>
      </c>
      <c r="H32" s="20">
        <v>4</v>
      </c>
      <c r="I32" s="20" t="s">
        <v>2046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2075</v>
      </c>
      <c r="D33" s="10" t="s">
        <v>184</v>
      </c>
      <c r="E33" s="12" t="s">
        <v>48</v>
      </c>
      <c r="F33" s="20" t="s">
        <v>1287</v>
      </c>
      <c r="G33" s="20" t="s">
        <v>397</v>
      </c>
      <c r="H33" s="20">
        <v>4</v>
      </c>
      <c r="I33" s="20" t="s">
        <v>2046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2076</v>
      </c>
      <c r="D34" s="10" t="s">
        <v>863</v>
      </c>
      <c r="E34" s="12" t="s">
        <v>48</v>
      </c>
      <c r="F34" s="20" t="s">
        <v>2077</v>
      </c>
      <c r="G34" s="20" t="s">
        <v>397</v>
      </c>
      <c r="H34" s="20">
        <v>4</v>
      </c>
      <c r="I34" s="20" t="s">
        <v>2046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2078</v>
      </c>
      <c r="D35" s="10" t="s">
        <v>2079</v>
      </c>
      <c r="E35" s="12" t="s">
        <v>49</v>
      </c>
      <c r="F35" s="20" t="s">
        <v>82</v>
      </c>
      <c r="G35" s="20" t="s">
        <v>397</v>
      </c>
      <c r="H35" s="20">
        <v>4</v>
      </c>
      <c r="I35" s="20" t="s">
        <v>2046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2080</v>
      </c>
      <c r="D36" s="10" t="s">
        <v>1264</v>
      </c>
      <c r="E36" s="12" t="s">
        <v>49</v>
      </c>
      <c r="F36" s="20" t="s">
        <v>420</v>
      </c>
      <c r="G36" s="20" t="s">
        <v>397</v>
      </c>
      <c r="H36" s="20">
        <v>4</v>
      </c>
      <c r="I36" s="20" t="s">
        <v>2046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2081</v>
      </c>
      <c r="D37" s="10" t="s">
        <v>157</v>
      </c>
      <c r="E37" s="12" t="s">
        <v>49</v>
      </c>
      <c r="F37" s="20" t="s">
        <v>432</v>
      </c>
      <c r="G37" s="20" t="s">
        <v>397</v>
      </c>
      <c r="H37" s="20">
        <v>4</v>
      </c>
      <c r="I37" s="20" t="s">
        <v>2046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2082</v>
      </c>
      <c r="D38" s="10" t="s">
        <v>1377</v>
      </c>
      <c r="E38" s="12" t="s">
        <v>49</v>
      </c>
      <c r="F38" s="20" t="s">
        <v>420</v>
      </c>
      <c r="G38" s="20" t="s">
        <v>397</v>
      </c>
      <c r="H38" s="20">
        <v>4</v>
      </c>
      <c r="I38" s="20" t="s">
        <v>2046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2083</v>
      </c>
      <c r="D39" s="9" t="s">
        <v>2084</v>
      </c>
      <c r="E39" s="11" t="s">
        <v>53</v>
      </c>
      <c r="F39" s="19" t="s">
        <v>687</v>
      </c>
      <c r="G39" s="19" t="s">
        <v>397</v>
      </c>
      <c r="H39" s="19">
        <v>4</v>
      </c>
      <c r="I39" s="19" t="s">
        <v>2046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2085</v>
      </c>
      <c r="D40" s="10" t="s">
        <v>2086</v>
      </c>
      <c r="E40" s="12" t="s">
        <v>53</v>
      </c>
      <c r="F40" s="20" t="s">
        <v>410</v>
      </c>
      <c r="G40" s="20" t="s">
        <v>397</v>
      </c>
      <c r="H40" s="20">
        <v>4</v>
      </c>
      <c r="I40" s="20" t="s">
        <v>2046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2087</v>
      </c>
      <c r="D41" s="10" t="s">
        <v>70</v>
      </c>
      <c r="E41" s="12" t="s">
        <v>299</v>
      </c>
      <c r="F41" s="20" t="s">
        <v>43</v>
      </c>
      <c r="G41" s="20" t="s">
        <v>397</v>
      </c>
      <c r="H41" s="20">
        <v>4</v>
      </c>
      <c r="I41" s="20" t="s">
        <v>2046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7" si="1">+IF(OR($J41=0,$K41=0,$L41=0,$M41=0),"Không đủ ĐKDT","")</f>
        <v/>
      </c>
    </row>
    <row r="42" spans="2:14" ht="16.5" customHeight="1">
      <c r="B42" s="15">
        <v>33</v>
      </c>
      <c r="C42" s="22" t="s">
        <v>2088</v>
      </c>
      <c r="D42" s="10" t="s">
        <v>55</v>
      </c>
      <c r="E42" s="12" t="s">
        <v>56</v>
      </c>
      <c r="F42" s="20" t="s">
        <v>38</v>
      </c>
      <c r="G42" s="20" t="s">
        <v>397</v>
      </c>
      <c r="H42" s="20">
        <v>4</v>
      </c>
      <c r="I42" s="20" t="s">
        <v>2046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2089</v>
      </c>
      <c r="D43" s="10" t="s">
        <v>76</v>
      </c>
      <c r="E43" s="12" t="s">
        <v>56</v>
      </c>
      <c r="F43" s="20" t="s">
        <v>396</v>
      </c>
      <c r="G43" s="20" t="s">
        <v>397</v>
      </c>
      <c r="H43" s="20">
        <v>4</v>
      </c>
      <c r="I43" s="20" t="s">
        <v>2046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2090</v>
      </c>
      <c r="D44" s="10" t="s">
        <v>169</v>
      </c>
      <c r="E44" s="12" t="s">
        <v>58</v>
      </c>
      <c r="F44" s="20" t="s">
        <v>694</v>
      </c>
      <c r="G44" s="20" t="s">
        <v>397</v>
      </c>
      <c r="H44" s="20">
        <v>4</v>
      </c>
      <c r="I44" s="20" t="s">
        <v>2046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2091</v>
      </c>
      <c r="D45" s="10" t="s">
        <v>559</v>
      </c>
      <c r="E45" s="12" t="s">
        <v>58</v>
      </c>
      <c r="F45" s="20" t="s">
        <v>52</v>
      </c>
      <c r="G45" s="20" t="s">
        <v>397</v>
      </c>
      <c r="H45" s="20">
        <v>4</v>
      </c>
      <c r="I45" s="20" t="s">
        <v>2046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2092</v>
      </c>
      <c r="D46" s="10" t="s">
        <v>362</v>
      </c>
      <c r="E46" s="12" t="s">
        <v>62</v>
      </c>
      <c r="F46" s="20" t="s">
        <v>1115</v>
      </c>
      <c r="G46" s="20" t="s">
        <v>397</v>
      </c>
      <c r="H46" s="20">
        <v>4</v>
      </c>
      <c r="I46" s="20" t="s">
        <v>2046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2093</v>
      </c>
      <c r="D47" s="10" t="s">
        <v>1516</v>
      </c>
      <c r="E47" s="12" t="s">
        <v>62</v>
      </c>
      <c r="F47" s="20" t="s">
        <v>396</v>
      </c>
      <c r="G47" s="20" t="s">
        <v>397</v>
      </c>
      <c r="H47" s="20">
        <v>4</v>
      </c>
      <c r="I47" s="20" t="s">
        <v>2046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2094</v>
      </c>
      <c r="D48" s="10" t="s">
        <v>32</v>
      </c>
      <c r="E48" s="12" t="s">
        <v>2095</v>
      </c>
      <c r="F48" s="20" t="s">
        <v>414</v>
      </c>
      <c r="G48" s="20" t="s">
        <v>397</v>
      </c>
      <c r="H48" s="20">
        <v>4</v>
      </c>
      <c r="I48" s="20" t="s">
        <v>2046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2096</v>
      </c>
      <c r="D49" s="10" t="s">
        <v>300</v>
      </c>
      <c r="E49" s="12" t="s">
        <v>301</v>
      </c>
      <c r="F49" s="20" t="s">
        <v>52</v>
      </c>
      <c r="G49" s="20" t="s">
        <v>397</v>
      </c>
      <c r="H49" s="20">
        <v>4</v>
      </c>
      <c r="I49" s="20" t="s">
        <v>2046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2097</v>
      </c>
      <c r="D50" s="10" t="s">
        <v>343</v>
      </c>
      <c r="E50" s="12" t="s">
        <v>67</v>
      </c>
      <c r="F50" s="20" t="s">
        <v>692</v>
      </c>
      <c r="G50" s="20" t="s">
        <v>397</v>
      </c>
      <c r="H50" s="20">
        <v>4</v>
      </c>
      <c r="I50" s="20" t="s">
        <v>2046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2098</v>
      </c>
      <c r="D51" s="10" t="s">
        <v>189</v>
      </c>
      <c r="E51" s="12" t="s">
        <v>142</v>
      </c>
      <c r="F51" s="20" t="s">
        <v>410</v>
      </c>
      <c r="G51" s="20" t="s">
        <v>397</v>
      </c>
      <c r="H51" s="20">
        <v>4</v>
      </c>
      <c r="I51" s="20" t="s">
        <v>2046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2099</v>
      </c>
      <c r="D52" s="10" t="s">
        <v>2100</v>
      </c>
      <c r="E52" s="12" t="s">
        <v>142</v>
      </c>
      <c r="F52" s="20" t="s">
        <v>456</v>
      </c>
      <c r="G52" s="20" t="s">
        <v>397</v>
      </c>
      <c r="H52" s="20">
        <v>4</v>
      </c>
      <c r="I52" s="20" t="s">
        <v>2046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2101</v>
      </c>
      <c r="D53" s="10" t="s">
        <v>2102</v>
      </c>
      <c r="E53" s="12" t="s">
        <v>71</v>
      </c>
      <c r="F53" s="20" t="s">
        <v>701</v>
      </c>
      <c r="G53" s="20" t="s">
        <v>397</v>
      </c>
      <c r="H53" s="20">
        <v>4</v>
      </c>
      <c r="I53" s="20" t="s">
        <v>2046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2103</v>
      </c>
      <c r="D54" s="10" t="s">
        <v>2104</v>
      </c>
      <c r="E54" s="12" t="s">
        <v>71</v>
      </c>
      <c r="F54" s="20" t="s">
        <v>432</v>
      </c>
      <c r="G54" s="20" t="s">
        <v>397</v>
      </c>
      <c r="H54" s="20">
        <v>4</v>
      </c>
      <c r="I54" s="20" t="s">
        <v>2046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2105</v>
      </c>
      <c r="D55" s="10" t="s">
        <v>2106</v>
      </c>
      <c r="E55" s="12" t="s">
        <v>71</v>
      </c>
      <c r="F55" s="20" t="s">
        <v>410</v>
      </c>
      <c r="G55" s="20" t="s">
        <v>397</v>
      </c>
      <c r="H55" s="20">
        <v>4</v>
      </c>
      <c r="I55" s="20" t="s">
        <v>2046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2107</v>
      </c>
      <c r="D56" s="10" t="s">
        <v>2108</v>
      </c>
      <c r="E56" s="12" t="s">
        <v>217</v>
      </c>
      <c r="F56" s="20" t="s">
        <v>410</v>
      </c>
      <c r="G56" s="20" t="s">
        <v>397</v>
      </c>
      <c r="H56" s="20">
        <v>4</v>
      </c>
      <c r="I56" s="20" t="s">
        <v>2046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2109</v>
      </c>
      <c r="D57" s="10" t="s">
        <v>547</v>
      </c>
      <c r="E57" s="12" t="s">
        <v>880</v>
      </c>
      <c r="F57" s="20" t="s">
        <v>396</v>
      </c>
      <c r="G57" s="20" t="s">
        <v>397</v>
      </c>
      <c r="H57" s="20">
        <v>4</v>
      </c>
      <c r="I57" s="20" t="s">
        <v>2046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2110</v>
      </c>
      <c r="D58" s="10" t="s">
        <v>227</v>
      </c>
      <c r="E58" s="12" t="s">
        <v>73</v>
      </c>
      <c r="F58" s="20" t="s">
        <v>52</v>
      </c>
      <c r="G58" s="20" t="s">
        <v>397</v>
      </c>
      <c r="H58" s="20">
        <v>4</v>
      </c>
      <c r="I58" s="20" t="s">
        <v>2046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2111</v>
      </c>
      <c r="D59" s="10" t="s">
        <v>2112</v>
      </c>
      <c r="E59" s="12" t="s">
        <v>75</v>
      </c>
      <c r="F59" s="20" t="s">
        <v>683</v>
      </c>
      <c r="G59" s="20" t="s">
        <v>397</v>
      </c>
      <c r="H59" s="20">
        <v>4</v>
      </c>
      <c r="I59" s="20" t="s">
        <v>2046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2113</v>
      </c>
      <c r="D60" s="10" t="s">
        <v>76</v>
      </c>
      <c r="E60" s="12" t="s">
        <v>75</v>
      </c>
      <c r="F60" s="20" t="s">
        <v>420</v>
      </c>
      <c r="G60" s="20" t="s">
        <v>397</v>
      </c>
      <c r="H60" s="20">
        <v>4</v>
      </c>
      <c r="I60" s="20" t="s">
        <v>2046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2114</v>
      </c>
      <c r="D61" s="10" t="s">
        <v>808</v>
      </c>
      <c r="E61" s="12" t="s">
        <v>75</v>
      </c>
      <c r="F61" s="20" t="s">
        <v>444</v>
      </c>
      <c r="G61" s="20" t="s">
        <v>397</v>
      </c>
      <c r="H61" s="20">
        <v>4</v>
      </c>
      <c r="I61" s="20" t="s">
        <v>2046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2115</v>
      </c>
      <c r="D62" s="10" t="s">
        <v>76</v>
      </c>
      <c r="E62" s="12" t="s">
        <v>2116</v>
      </c>
      <c r="F62" s="20" t="s">
        <v>43</v>
      </c>
      <c r="G62" s="20" t="s">
        <v>397</v>
      </c>
      <c r="H62" s="20">
        <v>4</v>
      </c>
      <c r="I62" s="20" t="s">
        <v>2046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2117</v>
      </c>
      <c r="D63" s="10" t="s">
        <v>163</v>
      </c>
      <c r="E63" s="12" t="s">
        <v>2116</v>
      </c>
      <c r="F63" s="20" t="s">
        <v>2118</v>
      </c>
      <c r="G63" s="20" t="s">
        <v>397</v>
      </c>
      <c r="H63" s="20">
        <v>4</v>
      </c>
      <c r="I63" s="20" t="s">
        <v>2046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2119</v>
      </c>
      <c r="D64" s="10" t="s">
        <v>1617</v>
      </c>
      <c r="E64" s="12" t="s">
        <v>84</v>
      </c>
      <c r="F64" s="20" t="s">
        <v>410</v>
      </c>
      <c r="G64" s="20" t="s">
        <v>397</v>
      </c>
      <c r="H64" s="20">
        <v>4</v>
      </c>
      <c r="I64" s="20" t="s">
        <v>2046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2120</v>
      </c>
      <c r="D65" s="10" t="s">
        <v>603</v>
      </c>
      <c r="E65" s="12" t="s">
        <v>149</v>
      </c>
      <c r="F65" s="20" t="s">
        <v>43</v>
      </c>
      <c r="G65" s="20" t="s">
        <v>397</v>
      </c>
      <c r="H65" s="20">
        <v>4</v>
      </c>
      <c r="I65" s="20" t="s">
        <v>2046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2121</v>
      </c>
      <c r="D66" s="10" t="s">
        <v>314</v>
      </c>
      <c r="E66" s="12" t="s">
        <v>86</v>
      </c>
      <c r="F66" s="20" t="s">
        <v>396</v>
      </c>
      <c r="G66" s="20" t="s">
        <v>397</v>
      </c>
      <c r="H66" s="20">
        <v>4</v>
      </c>
      <c r="I66" s="20" t="s">
        <v>2046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2" t="s">
        <v>2122</v>
      </c>
      <c r="D67" s="10" t="s">
        <v>2123</v>
      </c>
      <c r="E67" s="12" t="s">
        <v>195</v>
      </c>
      <c r="F67" s="20" t="s">
        <v>52</v>
      </c>
      <c r="G67" s="20" t="s">
        <v>397</v>
      </c>
      <c r="H67" s="20">
        <v>4</v>
      </c>
      <c r="I67" s="20" t="s">
        <v>2046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si="1"/>
        <v/>
      </c>
    </row>
    <row r="68" spans="2:14" ht="16.5" customHeight="1">
      <c r="B68" s="15">
        <v>59</v>
      </c>
      <c r="C68" s="21" t="s">
        <v>2124</v>
      </c>
      <c r="D68" s="9" t="s">
        <v>63</v>
      </c>
      <c r="E68" s="11" t="s">
        <v>2125</v>
      </c>
      <c r="F68" s="19" t="s">
        <v>82</v>
      </c>
      <c r="G68" s="19" t="s">
        <v>397</v>
      </c>
      <c r="H68" s="19">
        <v>4</v>
      </c>
      <c r="I68" s="19" t="s">
        <v>2046</v>
      </c>
      <c r="J68" s="17" t="s">
        <v>13</v>
      </c>
      <c r="K68" s="17" t="s">
        <v>13</v>
      </c>
      <c r="L68" s="17" t="s">
        <v>13</v>
      </c>
      <c r="M68" s="17" t="s">
        <v>13</v>
      </c>
      <c r="N68" s="14" t="str">
        <f>+IF(OR($J68=0,$K68=0,$L68=0,$M68=0),"Không đủ ĐKDT","")</f>
        <v/>
      </c>
    </row>
    <row r="69" spans="2:14" ht="16.5" customHeight="1">
      <c r="B69" s="15">
        <v>60</v>
      </c>
      <c r="C69" s="22" t="s">
        <v>2126</v>
      </c>
      <c r="D69" s="10" t="s">
        <v>2127</v>
      </c>
      <c r="E69" s="12" t="s">
        <v>889</v>
      </c>
      <c r="F69" s="20" t="s">
        <v>690</v>
      </c>
      <c r="G69" s="20" t="s">
        <v>397</v>
      </c>
      <c r="H69" s="20">
        <v>4</v>
      </c>
      <c r="I69" s="20" t="s">
        <v>2046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>+IF(OR($J69=0,$K69=0,$L69=0,$M69=0),"Không đủ ĐKDT","")</f>
        <v/>
      </c>
    </row>
    <row r="70" spans="2:14" ht="16.5" customHeight="1">
      <c r="B70" s="15">
        <v>61</v>
      </c>
      <c r="C70" s="22" t="s">
        <v>2128</v>
      </c>
      <c r="D70" s="10" t="s">
        <v>448</v>
      </c>
      <c r="E70" s="12" t="s">
        <v>89</v>
      </c>
      <c r="F70" s="20" t="s">
        <v>414</v>
      </c>
      <c r="G70" s="20" t="s">
        <v>397</v>
      </c>
      <c r="H70" s="20">
        <v>4</v>
      </c>
      <c r="I70" s="20" t="s">
        <v>2046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ref="N70:N95" si="2">+IF(OR($J70=0,$K70=0,$L70=0,$M70=0),"Không đủ ĐKDT","")</f>
        <v/>
      </c>
    </row>
    <row r="71" spans="2:14" ht="16.5" customHeight="1">
      <c r="B71" s="15">
        <v>62</v>
      </c>
      <c r="C71" s="22" t="s">
        <v>2129</v>
      </c>
      <c r="D71" s="10" t="s">
        <v>2130</v>
      </c>
      <c r="E71" s="12" t="s">
        <v>89</v>
      </c>
      <c r="F71" s="20" t="s">
        <v>468</v>
      </c>
      <c r="G71" s="20" t="s">
        <v>397</v>
      </c>
      <c r="H71" s="20">
        <v>4</v>
      </c>
      <c r="I71" s="20" t="s">
        <v>2046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2131</v>
      </c>
      <c r="D72" s="10" t="s">
        <v>2132</v>
      </c>
      <c r="E72" s="12" t="s">
        <v>89</v>
      </c>
      <c r="F72" s="20" t="s">
        <v>38</v>
      </c>
      <c r="G72" s="20" t="s">
        <v>397</v>
      </c>
      <c r="H72" s="20">
        <v>4</v>
      </c>
      <c r="I72" s="20" t="s">
        <v>2046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2133</v>
      </c>
      <c r="D73" s="10" t="s">
        <v>846</v>
      </c>
      <c r="E73" s="12" t="s">
        <v>91</v>
      </c>
      <c r="F73" s="20" t="s">
        <v>456</v>
      </c>
      <c r="G73" s="20" t="s">
        <v>397</v>
      </c>
      <c r="H73" s="20">
        <v>4</v>
      </c>
      <c r="I73" s="20" t="s">
        <v>2046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2134</v>
      </c>
      <c r="D74" s="10" t="s">
        <v>272</v>
      </c>
      <c r="E74" s="12" t="s">
        <v>93</v>
      </c>
      <c r="F74" s="20" t="s">
        <v>52</v>
      </c>
      <c r="G74" s="20" t="s">
        <v>397</v>
      </c>
      <c r="H74" s="20">
        <v>4</v>
      </c>
      <c r="I74" s="20" t="s">
        <v>2046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2135</v>
      </c>
      <c r="D75" s="10" t="s">
        <v>76</v>
      </c>
      <c r="E75" s="12" t="s">
        <v>97</v>
      </c>
      <c r="F75" s="20" t="s">
        <v>2136</v>
      </c>
      <c r="G75" s="20" t="s">
        <v>397</v>
      </c>
      <c r="H75" s="20">
        <v>4</v>
      </c>
      <c r="I75" s="20" t="s">
        <v>2046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2137</v>
      </c>
      <c r="D76" s="10" t="s">
        <v>191</v>
      </c>
      <c r="E76" s="12" t="s">
        <v>97</v>
      </c>
      <c r="F76" s="20" t="s">
        <v>432</v>
      </c>
      <c r="G76" s="20" t="s">
        <v>397</v>
      </c>
      <c r="H76" s="20">
        <v>4</v>
      </c>
      <c r="I76" s="20" t="s">
        <v>2046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2138</v>
      </c>
      <c r="D77" s="10" t="s">
        <v>66</v>
      </c>
      <c r="E77" s="12" t="s">
        <v>155</v>
      </c>
      <c r="F77" s="20" t="s">
        <v>43</v>
      </c>
      <c r="G77" s="20" t="s">
        <v>397</v>
      </c>
      <c r="H77" s="20">
        <v>4</v>
      </c>
      <c r="I77" s="20" t="s">
        <v>2046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2139</v>
      </c>
      <c r="D78" s="10" t="s">
        <v>76</v>
      </c>
      <c r="E78" s="12" t="s">
        <v>101</v>
      </c>
      <c r="F78" s="20" t="s">
        <v>410</v>
      </c>
      <c r="G78" s="20" t="s">
        <v>397</v>
      </c>
      <c r="H78" s="20">
        <v>4</v>
      </c>
      <c r="I78" s="20" t="s">
        <v>2046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102</v>
      </c>
      <c r="D79" s="10" t="s">
        <v>103</v>
      </c>
      <c r="E79" s="12" t="s">
        <v>101</v>
      </c>
      <c r="F79" s="20" t="s">
        <v>82</v>
      </c>
      <c r="G79" s="20" t="s">
        <v>397</v>
      </c>
      <c r="H79" s="20">
        <v>4</v>
      </c>
      <c r="I79" s="20" t="s">
        <v>2046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2140</v>
      </c>
      <c r="D80" s="10" t="s">
        <v>262</v>
      </c>
      <c r="E80" s="12" t="s">
        <v>225</v>
      </c>
      <c r="F80" s="20" t="s">
        <v>40</v>
      </c>
      <c r="G80" s="20" t="s">
        <v>397</v>
      </c>
      <c r="H80" s="20">
        <v>4</v>
      </c>
      <c r="I80" s="20" t="s">
        <v>2046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2141</v>
      </c>
      <c r="D81" s="10" t="s">
        <v>2142</v>
      </c>
      <c r="E81" s="12" t="s">
        <v>225</v>
      </c>
      <c r="F81" s="20" t="s">
        <v>450</v>
      </c>
      <c r="G81" s="20" t="s">
        <v>397</v>
      </c>
      <c r="H81" s="20">
        <v>4</v>
      </c>
      <c r="I81" s="20" t="s">
        <v>2046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2143</v>
      </c>
      <c r="D82" s="10" t="s">
        <v>226</v>
      </c>
      <c r="E82" s="12" t="s">
        <v>106</v>
      </c>
      <c r="F82" s="20" t="s">
        <v>410</v>
      </c>
      <c r="G82" s="20" t="s">
        <v>397</v>
      </c>
      <c r="H82" s="20">
        <v>4</v>
      </c>
      <c r="I82" s="20" t="s">
        <v>2046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2144</v>
      </c>
      <c r="D83" s="10" t="s">
        <v>347</v>
      </c>
      <c r="E83" s="12" t="s">
        <v>158</v>
      </c>
      <c r="F83" s="20" t="s">
        <v>432</v>
      </c>
      <c r="G83" s="20" t="s">
        <v>397</v>
      </c>
      <c r="H83" s="20">
        <v>4</v>
      </c>
      <c r="I83" s="20" t="s">
        <v>2046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2145</v>
      </c>
      <c r="D84" s="10" t="s">
        <v>63</v>
      </c>
      <c r="E84" s="12" t="s">
        <v>275</v>
      </c>
      <c r="F84" s="20" t="s">
        <v>694</v>
      </c>
      <c r="G84" s="20" t="s">
        <v>397</v>
      </c>
      <c r="H84" s="20">
        <v>4</v>
      </c>
      <c r="I84" s="20" t="s">
        <v>2046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2146</v>
      </c>
      <c r="D85" s="10" t="s">
        <v>2147</v>
      </c>
      <c r="E85" s="12" t="s">
        <v>317</v>
      </c>
      <c r="F85" s="20" t="s">
        <v>82</v>
      </c>
      <c r="G85" s="20" t="s">
        <v>397</v>
      </c>
      <c r="H85" s="20">
        <v>4</v>
      </c>
      <c r="I85" s="20" t="s">
        <v>2046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2148</v>
      </c>
      <c r="D86" s="10" t="s">
        <v>57</v>
      </c>
      <c r="E86" s="12" t="s">
        <v>2149</v>
      </c>
      <c r="F86" s="20" t="s">
        <v>756</v>
      </c>
      <c r="G86" s="20" t="s">
        <v>397</v>
      </c>
      <c r="H86" s="20">
        <v>4</v>
      </c>
      <c r="I86" s="20" t="s">
        <v>2046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2150</v>
      </c>
      <c r="D87" s="10" t="s">
        <v>254</v>
      </c>
      <c r="E87" s="12" t="s">
        <v>161</v>
      </c>
      <c r="F87" s="20" t="s">
        <v>683</v>
      </c>
      <c r="G87" s="20" t="s">
        <v>397</v>
      </c>
      <c r="H87" s="20">
        <v>4</v>
      </c>
      <c r="I87" s="20" t="s">
        <v>2046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2151</v>
      </c>
      <c r="D88" s="10" t="s">
        <v>434</v>
      </c>
      <c r="E88" s="12" t="s">
        <v>162</v>
      </c>
      <c r="F88" s="20" t="s">
        <v>43</v>
      </c>
      <c r="G88" s="20" t="s">
        <v>397</v>
      </c>
      <c r="H88" s="20">
        <v>4</v>
      </c>
      <c r="I88" s="20" t="s">
        <v>2046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2152</v>
      </c>
      <c r="D89" s="10" t="s">
        <v>2153</v>
      </c>
      <c r="E89" s="12" t="s">
        <v>162</v>
      </c>
      <c r="F89" s="20" t="s">
        <v>52</v>
      </c>
      <c r="G89" s="20" t="s">
        <v>397</v>
      </c>
      <c r="H89" s="20">
        <v>4</v>
      </c>
      <c r="I89" s="20" t="s">
        <v>2046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2154</v>
      </c>
      <c r="D90" s="10" t="s">
        <v>59</v>
      </c>
      <c r="E90" s="12" t="s">
        <v>165</v>
      </c>
      <c r="F90" s="20" t="s">
        <v>694</v>
      </c>
      <c r="G90" s="20" t="s">
        <v>397</v>
      </c>
      <c r="H90" s="20">
        <v>4</v>
      </c>
      <c r="I90" s="20" t="s">
        <v>2046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2155</v>
      </c>
      <c r="D91" s="10" t="s">
        <v>157</v>
      </c>
      <c r="E91" s="12" t="s">
        <v>125</v>
      </c>
      <c r="F91" s="20" t="s">
        <v>414</v>
      </c>
      <c r="G91" s="20" t="s">
        <v>397</v>
      </c>
      <c r="H91" s="20">
        <v>4</v>
      </c>
      <c r="I91" s="20" t="s">
        <v>2046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2156</v>
      </c>
      <c r="D92" s="10" t="s">
        <v>68</v>
      </c>
      <c r="E92" s="12" t="s">
        <v>125</v>
      </c>
      <c r="F92" s="20" t="s">
        <v>687</v>
      </c>
      <c r="G92" s="20" t="s">
        <v>397</v>
      </c>
      <c r="H92" s="20">
        <v>4</v>
      </c>
      <c r="I92" s="20" t="s">
        <v>2046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2157</v>
      </c>
      <c r="D93" s="10" t="s">
        <v>119</v>
      </c>
      <c r="E93" s="12" t="s">
        <v>203</v>
      </c>
      <c r="F93" s="20" t="s">
        <v>43</v>
      </c>
      <c r="G93" s="20" t="s">
        <v>397</v>
      </c>
      <c r="H93" s="20">
        <v>4</v>
      </c>
      <c r="I93" s="20" t="s">
        <v>2046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2158</v>
      </c>
      <c r="D94" s="10" t="s">
        <v>90</v>
      </c>
      <c r="E94" s="12" t="s">
        <v>671</v>
      </c>
      <c r="F94" s="20" t="s">
        <v>756</v>
      </c>
      <c r="G94" s="20" t="s">
        <v>397</v>
      </c>
      <c r="H94" s="20">
        <v>4</v>
      </c>
      <c r="I94" s="20" t="s">
        <v>2046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6.5" customHeight="1">
      <c r="B95" s="15">
        <v>86</v>
      </c>
      <c r="C95" s="22" t="s">
        <v>2159</v>
      </c>
      <c r="D95" s="10" t="s">
        <v>76</v>
      </c>
      <c r="E95" s="12" t="s">
        <v>171</v>
      </c>
      <c r="F95" s="20" t="s">
        <v>756</v>
      </c>
      <c r="G95" s="20" t="s">
        <v>397</v>
      </c>
      <c r="H95" s="20">
        <v>4</v>
      </c>
      <c r="I95" s="20" t="s">
        <v>2046</v>
      </c>
      <c r="J95" s="18" t="s">
        <v>13</v>
      </c>
      <c r="K95" s="18" t="s">
        <v>13</v>
      </c>
      <c r="L95" s="18" t="s">
        <v>13</v>
      </c>
      <c r="M95" s="18" t="s">
        <v>13</v>
      </c>
      <c r="N95" s="16" t="str">
        <f t="shared" si="2"/>
        <v/>
      </c>
    </row>
    <row r="96" spans="2:14" ht="19.5" customHeight="1">
      <c r="B96" s="64" t="s">
        <v>20</v>
      </c>
      <c r="C96" s="64"/>
      <c r="D96" s="64"/>
      <c r="E96" s="64"/>
    </row>
    <row r="97" spans="2:14" ht="19.5" customHeight="1">
      <c r="B97" s="55" t="str">
        <f>"Điểm chuyên cần: " &amp; $J$9 &amp; "% "</f>
        <v xml:space="preserve">Điểm chuyên cần: % </v>
      </c>
      <c r="C97" s="55"/>
      <c r="D97" s="55"/>
      <c r="E97" s="55"/>
    </row>
    <row r="98" spans="2:14" ht="19.5" customHeight="1">
      <c r="B98" s="55" t="str">
        <f>"Điểm trung bình kiểm tra: "&amp;$K$9&amp;"%"</f>
        <v>Điểm trung bình kiểm tra: %</v>
      </c>
      <c r="C98" s="55"/>
      <c r="D98" s="55"/>
      <c r="E98" s="55"/>
    </row>
    <row r="99" spans="2:14" ht="19.5" customHeight="1">
      <c r="B99" s="55" t="str">
        <f>"Điểm thí nghiệm, thực hành: "&amp;$L$9&amp;"%"</f>
        <v>Điểm thí nghiệm, thực hành: %</v>
      </c>
      <c r="C99" s="55"/>
      <c r="D99" s="55"/>
      <c r="E99" s="55"/>
    </row>
    <row r="100" spans="2:14" ht="19.5" customHeight="1">
      <c r="B100" s="55" t="str">
        <f>"Điểm bài tập tiểu luận, seminar: "&amp;$M$9&amp;"%"</f>
        <v>Điểm bài tập tiểu luận, seminar: %</v>
      </c>
      <c r="C100" s="55"/>
      <c r="D100" s="55"/>
      <c r="E100" s="55"/>
    </row>
    <row r="101" spans="2:14">
      <c r="J101" s="56" t="s">
        <v>21</v>
      </c>
      <c r="K101" s="56"/>
      <c r="L101" s="56"/>
      <c r="M101" s="56"/>
      <c r="N101" s="56"/>
    </row>
    <row r="102" spans="2:14" ht="32.25" customHeight="1">
      <c r="B102" s="57" t="s">
        <v>17</v>
      </c>
      <c r="C102" s="57"/>
      <c r="D102" s="57"/>
      <c r="E102" s="57"/>
      <c r="F102" s="28"/>
      <c r="G102" s="28"/>
      <c r="H102" s="28"/>
      <c r="I102" s="28"/>
      <c r="J102" s="57" t="s">
        <v>18</v>
      </c>
      <c r="K102" s="57"/>
      <c r="L102" s="57"/>
      <c r="M102" s="57"/>
      <c r="N102" s="57"/>
    </row>
    <row r="108" spans="2:14">
      <c r="J108" s="58"/>
      <c r="K108" s="58"/>
      <c r="L108" s="58"/>
      <c r="M108" s="58"/>
      <c r="N108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9:E99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6:E96"/>
    <mergeCell ref="B97:E97"/>
    <mergeCell ref="B98:E98"/>
    <mergeCell ref="L7:L8"/>
    <mergeCell ref="M7:M8"/>
    <mergeCell ref="B100:E100"/>
    <mergeCell ref="J101:N101"/>
    <mergeCell ref="B102:E102"/>
    <mergeCell ref="J102:N102"/>
    <mergeCell ref="J108:N108"/>
  </mergeCells>
  <conditionalFormatting sqref="J10:M10">
    <cfRule type="cellIs" dxfId="597" priority="55" stopIfTrue="1" operator="greaterThan">
      <formula>10</formula>
    </cfRule>
    <cfRule type="cellIs" dxfId="596" priority="56" stopIfTrue="1" operator="greaterThan">
      <formula>10</formula>
    </cfRule>
    <cfRule type="cellIs" dxfId="595" priority="57" stopIfTrue="1" operator="greaterThan">
      <formula>10</formula>
    </cfRule>
    <cfRule type="cellIs" dxfId="594" priority="58" stopIfTrue="1" operator="greaterThan">
      <formula>10</formula>
    </cfRule>
  </conditionalFormatting>
  <conditionalFormatting sqref="J11:M13">
    <cfRule type="cellIs" dxfId="593" priority="51" stopIfTrue="1" operator="greaterThan">
      <formula>10</formula>
    </cfRule>
    <cfRule type="cellIs" dxfId="592" priority="52" stopIfTrue="1" operator="greaterThan">
      <formula>10</formula>
    </cfRule>
    <cfRule type="cellIs" dxfId="591" priority="53" stopIfTrue="1" operator="greaterThan">
      <formula>10</formula>
    </cfRule>
    <cfRule type="cellIs" dxfId="590" priority="54" stopIfTrue="1" operator="greaterThan">
      <formula>10</formula>
    </cfRule>
  </conditionalFormatting>
  <conditionalFormatting sqref="J14:M15 J23:M38">
    <cfRule type="cellIs" dxfId="589" priority="47" stopIfTrue="1" operator="greaterThan">
      <formula>10</formula>
    </cfRule>
    <cfRule type="cellIs" dxfId="588" priority="48" stopIfTrue="1" operator="greaterThan">
      <formula>10</formula>
    </cfRule>
    <cfRule type="cellIs" dxfId="587" priority="49" stopIfTrue="1" operator="greaterThan">
      <formula>10</formula>
    </cfRule>
    <cfRule type="cellIs" dxfId="586" priority="50" stopIfTrue="1" operator="greaterThan">
      <formula>10</formula>
    </cfRule>
  </conditionalFormatting>
  <conditionalFormatting sqref="J16:M22">
    <cfRule type="cellIs" dxfId="585" priority="41" stopIfTrue="1" operator="greaterThan">
      <formula>10</formula>
    </cfRule>
    <cfRule type="cellIs" dxfId="584" priority="42" stopIfTrue="1" operator="greaterThan">
      <formula>10</formula>
    </cfRule>
    <cfRule type="cellIs" dxfId="583" priority="43" stopIfTrue="1" operator="greaterThan">
      <formula>10</formula>
    </cfRule>
    <cfRule type="cellIs" dxfId="582" priority="44" stopIfTrue="1" operator="greaterThan">
      <formula>10</formula>
    </cfRule>
  </conditionalFormatting>
  <conditionalFormatting sqref="C16:C22">
    <cfRule type="duplicateValues" dxfId="581" priority="45" stopIfTrue="1"/>
    <cfRule type="duplicateValues" dxfId="580" priority="46" stopIfTrue="1"/>
  </conditionalFormatting>
  <conditionalFormatting sqref="C10:C15 C23:C38">
    <cfRule type="duplicateValues" dxfId="579" priority="257" stopIfTrue="1"/>
    <cfRule type="duplicateValues" dxfId="578" priority="258" stopIfTrue="1"/>
  </conditionalFormatting>
  <conditionalFormatting sqref="J39:M39">
    <cfRule type="cellIs" dxfId="577" priority="35" stopIfTrue="1" operator="greaterThan">
      <formula>10</formula>
    </cfRule>
    <cfRule type="cellIs" dxfId="576" priority="36" stopIfTrue="1" operator="greaterThan">
      <formula>10</formula>
    </cfRule>
    <cfRule type="cellIs" dxfId="575" priority="37" stopIfTrue="1" operator="greaterThan">
      <formula>10</formula>
    </cfRule>
    <cfRule type="cellIs" dxfId="574" priority="38" stopIfTrue="1" operator="greaterThan">
      <formula>10</formula>
    </cfRule>
  </conditionalFormatting>
  <conditionalFormatting sqref="J40:M42">
    <cfRule type="cellIs" dxfId="573" priority="31" stopIfTrue="1" operator="greaterThan">
      <formula>10</formula>
    </cfRule>
    <cfRule type="cellIs" dxfId="572" priority="32" stopIfTrue="1" operator="greaterThan">
      <formula>10</formula>
    </cfRule>
    <cfRule type="cellIs" dxfId="571" priority="33" stopIfTrue="1" operator="greaterThan">
      <formula>10</formula>
    </cfRule>
    <cfRule type="cellIs" dxfId="570" priority="34" stopIfTrue="1" operator="greaterThan">
      <formula>10</formula>
    </cfRule>
  </conditionalFormatting>
  <conditionalFormatting sqref="J43:M44 J52:M67">
    <cfRule type="cellIs" dxfId="569" priority="27" stopIfTrue="1" operator="greaterThan">
      <formula>10</formula>
    </cfRule>
    <cfRule type="cellIs" dxfId="568" priority="28" stopIfTrue="1" operator="greaterThan">
      <formula>10</formula>
    </cfRule>
    <cfRule type="cellIs" dxfId="567" priority="29" stopIfTrue="1" operator="greaterThan">
      <formula>10</formula>
    </cfRule>
    <cfRule type="cellIs" dxfId="566" priority="30" stopIfTrue="1" operator="greaterThan">
      <formula>10</formula>
    </cfRule>
  </conditionalFormatting>
  <conditionalFormatting sqref="J45:M51">
    <cfRule type="cellIs" dxfId="565" priority="21" stopIfTrue="1" operator="greaterThan">
      <formula>10</formula>
    </cfRule>
    <cfRule type="cellIs" dxfId="564" priority="22" stopIfTrue="1" operator="greaterThan">
      <formula>10</formula>
    </cfRule>
    <cfRule type="cellIs" dxfId="563" priority="23" stopIfTrue="1" operator="greaterThan">
      <formula>10</formula>
    </cfRule>
    <cfRule type="cellIs" dxfId="562" priority="24" stopIfTrue="1" operator="greaterThan">
      <formula>10</formula>
    </cfRule>
  </conditionalFormatting>
  <conditionalFormatting sqref="C45:C51">
    <cfRule type="duplicateValues" dxfId="561" priority="25" stopIfTrue="1"/>
    <cfRule type="duplicateValues" dxfId="560" priority="26" stopIfTrue="1"/>
  </conditionalFormatting>
  <conditionalFormatting sqref="C39:C44 C52:C67">
    <cfRule type="duplicateValues" dxfId="559" priority="39" stopIfTrue="1"/>
    <cfRule type="duplicateValues" dxfId="558" priority="40" stopIfTrue="1"/>
  </conditionalFormatting>
  <conditionalFormatting sqref="J68:M68">
    <cfRule type="cellIs" dxfId="557" priority="15" stopIfTrue="1" operator="greaterThan">
      <formula>10</formula>
    </cfRule>
    <cfRule type="cellIs" dxfId="556" priority="16" stopIfTrue="1" operator="greaterThan">
      <formula>10</formula>
    </cfRule>
    <cfRule type="cellIs" dxfId="555" priority="17" stopIfTrue="1" operator="greaterThan">
      <formula>10</formula>
    </cfRule>
    <cfRule type="cellIs" dxfId="554" priority="18" stopIfTrue="1" operator="greaterThan">
      <formula>10</formula>
    </cfRule>
  </conditionalFormatting>
  <conditionalFormatting sqref="J69:M71">
    <cfRule type="cellIs" dxfId="553" priority="11" stopIfTrue="1" operator="greaterThan">
      <formula>10</formula>
    </cfRule>
    <cfRule type="cellIs" dxfId="552" priority="12" stopIfTrue="1" operator="greaterThan">
      <formula>10</formula>
    </cfRule>
    <cfRule type="cellIs" dxfId="551" priority="13" stopIfTrue="1" operator="greaterThan">
      <formula>10</formula>
    </cfRule>
    <cfRule type="cellIs" dxfId="550" priority="14" stopIfTrue="1" operator="greaterThan">
      <formula>10</formula>
    </cfRule>
  </conditionalFormatting>
  <conditionalFormatting sqref="J72:M73 J81:M95">
    <cfRule type="cellIs" dxfId="549" priority="7" stopIfTrue="1" operator="greaterThan">
      <formula>10</formula>
    </cfRule>
    <cfRule type="cellIs" dxfId="548" priority="8" stopIfTrue="1" operator="greaterThan">
      <formula>10</formula>
    </cfRule>
    <cfRule type="cellIs" dxfId="547" priority="9" stopIfTrue="1" operator="greaterThan">
      <formula>10</formula>
    </cfRule>
    <cfRule type="cellIs" dxfId="546" priority="10" stopIfTrue="1" operator="greaterThan">
      <formula>10</formula>
    </cfRule>
  </conditionalFormatting>
  <conditionalFormatting sqref="J74:M80">
    <cfRule type="cellIs" dxfId="545" priority="1" stopIfTrue="1" operator="greaterThan">
      <formula>10</formula>
    </cfRule>
    <cfRule type="cellIs" dxfId="544" priority="2" stopIfTrue="1" operator="greaterThan">
      <formula>10</formula>
    </cfRule>
    <cfRule type="cellIs" dxfId="543" priority="3" stopIfTrue="1" operator="greaterThan">
      <formula>10</formula>
    </cfRule>
    <cfRule type="cellIs" dxfId="542" priority="4" stopIfTrue="1" operator="greaterThan">
      <formula>10</formula>
    </cfRule>
  </conditionalFormatting>
  <conditionalFormatting sqref="C74:C80">
    <cfRule type="duplicateValues" dxfId="541" priority="5" stopIfTrue="1"/>
    <cfRule type="duplicateValues" dxfId="540" priority="6" stopIfTrue="1"/>
  </conditionalFormatting>
  <conditionalFormatting sqref="C68:C73 C81:C95">
    <cfRule type="duplicateValues" dxfId="539" priority="19" stopIfTrue="1"/>
    <cfRule type="duplicateValues" dxfId="538" priority="20" stopIfTrue="1"/>
  </conditionalFormatting>
  <dataValidations count="1">
    <dataValidation type="decimal" allowBlank="1" showInputMessage="1" showErrorMessage="1" error="Sai định dạng" sqref="J10:M95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B1:N109"/>
  <sheetViews>
    <sheetView topLeftCell="A83" workbookViewId="0">
      <selection activeCell="B14" sqref="B14:B96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BAS1224_08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1936</v>
      </c>
      <c r="D10" s="9" t="s">
        <v>1937</v>
      </c>
      <c r="E10" s="11" t="s">
        <v>26</v>
      </c>
      <c r="F10" s="19" t="s">
        <v>420</v>
      </c>
      <c r="G10" s="19" t="s">
        <v>397</v>
      </c>
      <c r="H10" s="19">
        <v>4</v>
      </c>
      <c r="I10" s="19" t="s">
        <v>1938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1939</v>
      </c>
      <c r="D11" s="10" t="s">
        <v>1940</v>
      </c>
      <c r="E11" s="12" t="s">
        <v>27</v>
      </c>
      <c r="F11" s="20" t="s">
        <v>30</v>
      </c>
      <c r="G11" s="20" t="s">
        <v>397</v>
      </c>
      <c r="H11" s="20">
        <v>4</v>
      </c>
      <c r="I11" s="20" t="s">
        <v>1938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1941</v>
      </c>
      <c r="D12" s="10" t="s">
        <v>1942</v>
      </c>
      <c r="E12" s="12" t="s">
        <v>27</v>
      </c>
      <c r="F12" s="20" t="s">
        <v>432</v>
      </c>
      <c r="G12" s="20" t="s">
        <v>397</v>
      </c>
      <c r="H12" s="20">
        <v>4</v>
      </c>
      <c r="I12" s="20" t="s">
        <v>1938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1943</v>
      </c>
      <c r="D13" s="10" t="s">
        <v>29</v>
      </c>
      <c r="E13" s="12" t="s">
        <v>27</v>
      </c>
      <c r="F13" s="20" t="s">
        <v>30</v>
      </c>
      <c r="G13" s="20" t="s">
        <v>397</v>
      </c>
      <c r="H13" s="20">
        <v>4</v>
      </c>
      <c r="I13" s="20" t="s">
        <v>1938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1944</v>
      </c>
      <c r="D14" s="10" t="s">
        <v>261</v>
      </c>
      <c r="E14" s="12" t="s">
        <v>27</v>
      </c>
      <c r="F14" s="20" t="s">
        <v>82</v>
      </c>
      <c r="G14" s="20" t="s">
        <v>397</v>
      </c>
      <c r="H14" s="20">
        <v>4</v>
      </c>
      <c r="I14" s="20" t="s">
        <v>1938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1945</v>
      </c>
      <c r="D15" s="10" t="s">
        <v>1470</v>
      </c>
      <c r="E15" s="12" t="s">
        <v>27</v>
      </c>
      <c r="F15" s="20" t="s">
        <v>468</v>
      </c>
      <c r="G15" s="20" t="s">
        <v>397</v>
      </c>
      <c r="H15" s="20">
        <v>4</v>
      </c>
      <c r="I15" s="20" t="s">
        <v>1938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1946</v>
      </c>
      <c r="D16" s="10" t="s">
        <v>1947</v>
      </c>
      <c r="E16" s="12" t="s">
        <v>176</v>
      </c>
      <c r="F16" s="20" t="s">
        <v>52</v>
      </c>
      <c r="G16" s="20" t="s">
        <v>397</v>
      </c>
      <c r="H16" s="20">
        <v>4</v>
      </c>
      <c r="I16" s="20" t="s">
        <v>1938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1948</v>
      </c>
      <c r="D17" s="10" t="s">
        <v>90</v>
      </c>
      <c r="E17" s="12" t="s">
        <v>265</v>
      </c>
      <c r="F17" s="20" t="s">
        <v>40</v>
      </c>
      <c r="G17" s="20" t="s">
        <v>397</v>
      </c>
      <c r="H17" s="20">
        <v>4</v>
      </c>
      <c r="I17" s="20" t="s">
        <v>1938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1949</v>
      </c>
      <c r="D18" s="10" t="s">
        <v>266</v>
      </c>
      <c r="E18" s="12" t="s">
        <v>33</v>
      </c>
      <c r="F18" s="20" t="s">
        <v>38</v>
      </c>
      <c r="G18" s="20" t="s">
        <v>397</v>
      </c>
      <c r="H18" s="20">
        <v>4</v>
      </c>
      <c r="I18" s="20" t="s">
        <v>1938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1950</v>
      </c>
      <c r="D19" s="10" t="s">
        <v>374</v>
      </c>
      <c r="E19" s="12" t="s">
        <v>426</v>
      </c>
      <c r="F19" s="20" t="s">
        <v>405</v>
      </c>
      <c r="G19" s="20" t="s">
        <v>397</v>
      </c>
      <c r="H19" s="20">
        <v>4</v>
      </c>
      <c r="I19" s="20" t="s">
        <v>1938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1951</v>
      </c>
      <c r="D20" s="10" t="s">
        <v>182</v>
      </c>
      <c r="E20" s="12" t="s">
        <v>180</v>
      </c>
      <c r="F20" s="20" t="s">
        <v>82</v>
      </c>
      <c r="G20" s="20" t="s">
        <v>397</v>
      </c>
      <c r="H20" s="20">
        <v>4</v>
      </c>
      <c r="I20" s="20" t="s">
        <v>1938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1952</v>
      </c>
      <c r="D21" s="10" t="s">
        <v>76</v>
      </c>
      <c r="E21" s="12" t="s">
        <v>180</v>
      </c>
      <c r="F21" s="20" t="s">
        <v>414</v>
      </c>
      <c r="G21" s="20" t="s">
        <v>397</v>
      </c>
      <c r="H21" s="20">
        <v>4</v>
      </c>
      <c r="I21" s="20" t="s">
        <v>1938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1953</v>
      </c>
      <c r="D22" s="10" t="s">
        <v>463</v>
      </c>
      <c r="E22" s="12" t="s">
        <v>180</v>
      </c>
      <c r="F22" s="20" t="s">
        <v>38</v>
      </c>
      <c r="G22" s="20" t="s">
        <v>397</v>
      </c>
      <c r="H22" s="20">
        <v>4</v>
      </c>
      <c r="I22" s="20" t="s">
        <v>1938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1954</v>
      </c>
      <c r="D23" s="10" t="s">
        <v>34</v>
      </c>
      <c r="E23" s="12" t="s">
        <v>1955</v>
      </c>
      <c r="F23" s="20" t="s">
        <v>420</v>
      </c>
      <c r="G23" s="20" t="s">
        <v>397</v>
      </c>
      <c r="H23" s="20">
        <v>4</v>
      </c>
      <c r="I23" s="20" t="s">
        <v>1938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1956</v>
      </c>
      <c r="D24" s="10" t="s">
        <v>34</v>
      </c>
      <c r="E24" s="12" t="s">
        <v>35</v>
      </c>
      <c r="F24" s="20" t="s">
        <v>30</v>
      </c>
      <c r="G24" s="20" t="s">
        <v>397</v>
      </c>
      <c r="H24" s="20">
        <v>4</v>
      </c>
      <c r="I24" s="20" t="s">
        <v>1938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1957</v>
      </c>
      <c r="D25" s="10" t="s">
        <v>70</v>
      </c>
      <c r="E25" s="12" t="s">
        <v>305</v>
      </c>
      <c r="F25" s="20" t="s">
        <v>1958</v>
      </c>
      <c r="G25" s="20" t="s">
        <v>397</v>
      </c>
      <c r="H25" s="20">
        <v>4</v>
      </c>
      <c r="I25" s="20" t="s">
        <v>1938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1959</v>
      </c>
      <c r="D26" s="10" t="s">
        <v>1205</v>
      </c>
      <c r="E26" s="12" t="s">
        <v>36</v>
      </c>
      <c r="F26" s="20" t="s">
        <v>468</v>
      </c>
      <c r="G26" s="20" t="s">
        <v>397</v>
      </c>
      <c r="H26" s="20">
        <v>4</v>
      </c>
      <c r="I26" s="20" t="s">
        <v>1938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1960</v>
      </c>
      <c r="D27" s="10" t="s">
        <v>137</v>
      </c>
      <c r="E27" s="12" t="s">
        <v>136</v>
      </c>
      <c r="F27" s="20" t="s">
        <v>396</v>
      </c>
      <c r="G27" s="20" t="s">
        <v>397</v>
      </c>
      <c r="H27" s="20">
        <v>4</v>
      </c>
      <c r="I27" s="20" t="s">
        <v>1938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1961</v>
      </c>
      <c r="D28" s="10" t="s">
        <v>1617</v>
      </c>
      <c r="E28" s="12" t="s">
        <v>185</v>
      </c>
      <c r="F28" s="20" t="s">
        <v>420</v>
      </c>
      <c r="G28" s="20" t="s">
        <v>397</v>
      </c>
      <c r="H28" s="20">
        <v>4</v>
      </c>
      <c r="I28" s="20" t="s">
        <v>1938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1962</v>
      </c>
      <c r="D29" s="10" t="s">
        <v>186</v>
      </c>
      <c r="E29" s="12" t="s">
        <v>39</v>
      </c>
      <c r="F29" s="20" t="s">
        <v>43</v>
      </c>
      <c r="G29" s="20" t="s">
        <v>397</v>
      </c>
      <c r="H29" s="20">
        <v>4</v>
      </c>
      <c r="I29" s="20" t="s">
        <v>1938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1963</v>
      </c>
      <c r="D30" s="10" t="s">
        <v>434</v>
      </c>
      <c r="E30" s="12" t="s">
        <v>39</v>
      </c>
      <c r="F30" s="20" t="s">
        <v>52</v>
      </c>
      <c r="G30" s="20" t="s">
        <v>397</v>
      </c>
      <c r="H30" s="20">
        <v>4</v>
      </c>
      <c r="I30" s="20" t="s">
        <v>1938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1964</v>
      </c>
      <c r="D31" s="10" t="s">
        <v>1965</v>
      </c>
      <c r="E31" s="12" t="s">
        <v>39</v>
      </c>
      <c r="F31" s="20" t="s">
        <v>30</v>
      </c>
      <c r="G31" s="20" t="s">
        <v>397</v>
      </c>
      <c r="H31" s="20">
        <v>4</v>
      </c>
      <c r="I31" s="20" t="s">
        <v>1938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1966</v>
      </c>
      <c r="D32" s="10" t="s">
        <v>1967</v>
      </c>
      <c r="E32" s="12" t="s">
        <v>39</v>
      </c>
      <c r="F32" s="20" t="s">
        <v>412</v>
      </c>
      <c r="G32" s="20" t="s">
        <v>397</v>
      </c>
      <c r="H32" s="20">
        <v>4</v>
      </c>
      <c r="I32" s="20" t="s">
        <v>1938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1968</v>
      </c>
      <c r="D33" s="10" t="s">
        <v>1783</v>
      </c>
      <c r="E33" s="12" t="s">
        <v>44</v>
      </c>
      <c r="F33" s="20" t="s">
        <v>82</v>
      </c>
      <c r="G33" s="20" t="s">
        <v>397</v>
      </c>
      <c r="H33" s="20">
        <v>4</v>
      </c>
      <c r="I33" s="20" t="s">
        <v>1938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1969</v>
      </c>
      <c r="D34" s="10" t="s">
        <v>834</v>
      </c>
      <c r="E34" s="12" t="s">
        <v>44</v>
      </c>
      <c r="F34" s="20" t="s">
        <v>43</v>
      </c>
      <c r="G34" s="20" t="s">
        <v>397</v>
      </c>
      <c r="H34" s="20">
        <v>4</v>
      </c>
      <c r="I34" s="20" t="s">
        <v>1938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1970</v>
      </c>
      <c r="D35" s="10" t="s">
        <v>1103</v>
      </c>
      <c r="E35" s="12" t="s">
        <v>212</v>
      </c>
      <c r="F35" s="20" t="s">
        <v>40</v>
      </c>
      <c r="G35" s="20" t="s">
        <v>397</v>
      </c>
      <c r="H35" s="20">
        <v>4</v>
      </c>
      <c r="I35" s="20" t="s">
        <v>1938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1971</v>
      </c>
      <c r="D36" s="10" t="s">
        <v>174</v>
      </c>
      <c r="E36" s="12" t="s">
        <v>212</v>
      </c>
      <c r="F36" s="20" t="s">
        <v>1350</v>
      </c>
      <c r="G36" s="20" t="s">
        <v>397</v>
      </c>
      <c r="H36" s="20">
        <v>4</v>
      </c>
      <c r="I36" s="20" t="s">
        <v>1938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1972</v>
      </c>
      <c r="D37" s="10" t="s">
        <v>1031</v>
      </c>
      <c r="E37" s="12" t="s">
        <v>46</v>
      </c>
      <c r="F37" s="20" t="s">
        <v>43</v>
      </c>
      <c r="G37" s="20" t="s">
        <v>397</v>
      </c>
      <c r="H37" s="20">
        <v>4</v>
      </c>
      <c r="I37" s="20" t="s">
        <v>1938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1973</v>
      </c>
      <c r="D38" s="10" t="s">
        <v>1974</v>
      </c>
      <c r="E38" s="12" t="s">
        <v>251</v>
      </c>
      <c r="F38" s="20" t="s">
        <v>396</v>
      </c>
      <c r="G38" s="20" t="s">
        <v>397</v>
      </c>
      <c r="H38" s="20">
        <v>4</v>
      </c>
      <c r="I38" s="20" t="s">
        <v>1938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1975</v>
      </c>
      <c r="D39" s="9" t="s">
        <v>248</v>
      </c>
      <c r="E39" s="11" t="s">
        <v>48</v>
      </c>
      <c r="F39" s="19" t="s">
        <v>468</v>
      </c>
      <c r="G39" s="19" t="s">
        <v>397</v>
      </c>
      <c r="H39" s="19">
        <v>4</v>
      </c>
      <c r="I39" s="19" t="s">
        <v>1938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1976</v>
      </c>
      <c r="D40" s="10" t="s">
        <v>76</v>
      </c>
      <c r="E40" s="12" t="s">
        <v>49</v>
      </c>
      <c r="F40" s="20" t="s">
        <v>40</v>
      </c>
      <c r="G40" s="20" t="s">
        <v>397</v>
      </c>
      <c r="H40" s="20">
        <v>4</v>
      </c>
      <c r="I40" s="20" t="s">
        <v>1938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1977</v>
      </c>
      <c r="D41" s="10" t="s">
        <v>76</v>
      </c>
      <c r="E41" s="12" t="s">
        <v>49</v>
      </c>
      <c r="F41" s="20" t="s">
        <v>396</v>
      </c>
      <c r="G41" s="20" t="s">
        <v>397</v>
      </c>
      <c r="H41" s="20">
        <v>4</v>
      </c>
      <c r="I41" s="20" t="s">
        <v>1938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7" si="1">+IF(OR($J41=0,$K41=0,$L41=0,$M41=0),"Không đủ ĐKDT","")</f>
        <v/>
      </c>
    </row>
    <row r="42" spans="2:14" ht="16.5" customHeight="1">
      <c r="B42" s="15">
        <v>33</v>
      </c>
      <c r="C42" s="22" t="s">
        <v>1978</v>
      </c>
      <c r="D42" s="10" t="s">
        <v>236</v>
      </c>
      <c r="E42" s="12" t="s">
        <v>49</v>
      </c>
      <c r="F42" s="20" t="s">
        <v>444</v>
      </c>
      <c r="G42" s="20" t="s">
        <v>397</v>
      </c>
      <c r="H42" s="20">
        <v>4</v>
      </c>
      <c r="I42" s="20" t="s">
        <v>1938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1979</v>
      </c>
      <c r="D43" s="10" t="s">
        <v>1980</v>
      </c>
      <c r="E43" s="12" t="s">
        <v>140</v>
      </c>
      <c r="F43" s="20" t="s">
        <v>396</v>
      </c>
      <c r="G43" s="20" t="s">
        <v>397</v>
      </c>
      <c r="H43" s="20">
        <v>4</v>
      </c>
      <c r="I43" s="20" t="s">
        <v>1938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1981</v>
      </c>
      <c r="D44" s="10" t="s">
        <v>1982</v>
      </c>
      <c r="E44" s="12" t="s">
        <v>53</v>
      </c>
      <c r="F44" s="20" t="s">
        <v>30</v>
      </c>
      <c r="G44" s="20" t="s">
        <v>397</v>
      </c>
      <c r="H44" s="20">
        <v>4</v>
      </c>
      <c r="I44" s="20" t="s">
        <v>1938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1983</v>
      </c>
      <c r="D45" s="10" t="s">
        <v>557</v>
      </c>
      <c r="E45" s="12" t="s">
        <v>53</v>
      </c>
      <c r="F45" s="20" t="s">
        <v>40</v>
      </c>
      <c r="G45" s="20" t="s">
        <v>397</v>
      </c>
      <c r="H45" s="20">
        <v>4</v>
      </c>
      <c r="I45" s="20" t="s">
        <v>1938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1984</v>
      </c>
      <c r="D46" s="10" t="s">
        <v>287</v>
      </c>
      <c r="E46" s="12" t="s">
        <v>53</v>
      </c>
      <c r="F46" s="20" t="s">
        <v>30</v>
      </c>
      <c r="G46" s="20" t="s">
        <v>397</v>
      </c>
      <c r="H46" s="20">
        <v>4</v>
      </c>
      <c r="I46" s="20" t="s">
        <v>1938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1985</v>
      </c>
      <c r="D47" s="10" t="s">
        <v>237</v>
      </c>
      <c r="E47" s="12" t="s">
        <v>56</v>
      </c>
      <c r="F47" s="20" t="s">
        <v>621</v>
      </c>
      <c r="G47" s="20" t="s">
        <v>397</v>
      </c>
      <c r="H47" s="20">
        <v>4</v>
      </c>
      <c r="I47" s="20" t="s">
        <v>1938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1986</v>
      </c>
      <c r="D48" s="10" t="s">
        <v>74</v>
      </c>
      <c r="E48" s="12" t="s">
        <v>56</v>
      </c>
      <c r="F48" s="20" t="s">
        <v>40</v>
      </c>
      <c r="G48" s="20" t="s">
        <v>397</v>
      </c>
      <c r="H48" s="20">
        <v>4</v>
      </c>
      <c r="I48" s="20" t="s">
        <v>1938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1987</v>
      </c>
      <c r="D49" s="10" t="s">
        <v>141</v>
      </c>
      <c r="E49" s="12" t="s">
        <v>58</v>
      </c>
      <c r="F49" s="20" t="s">
        <v>420</v>
      </c>
      <c r="G49" s="20" t="s">
        <v>397</v>
      </c>
      <c r="H49" s="20">
        <v>4</v>
      </c>
      <c r="I49" s="20" t="s">
        <v>1938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1988</v>
      </c>
      <c r="D50" s="10" t="s">
        <v>956</v>
      </c>
      <c r="E50" s="12" t="s">
        <v>58</v>
      </c>
      <c r="F50" s="20" t="s">
        <v>468</v>
      </c>
      <c r="G50" s="20" t="s">
        <v>397</v>
      </c>
      <c r="H50" s="20">
        <v>4</v>
      </c>
      <c r="I50" s="20" t="s">
        <v>1938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1989</v>
      </c>
      <c r="D51" s="10" t="s">
        <v>167</v>
      </c>
      <c r="E51" s="12" t="s">
        <v>58</v>
      </c>
      <c r="F51" s="20" t="s">
        <v>420</v>
      </c>
      <c r="G51" s="20" t="s">
        <v>397</v>
      </c>
      <c r="H51" s="20">
        <v>4</v>
      </c>
      <c r="I51" s="20" t="s">
        <v>1938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1990</v>
      </c>
      <c r="D52" s="10" t="s">
        <v>1991</v>
      </c>
      <c r="E52" s="12" t="s">
        <v>58</v>
      </c>
      <c r="F52" s="20" t="s">
        <v>30</v>
      </c>
      <c r="G52" s="20" t="s">
        <v>397</v>
      </c>
      <c r="H52" s="20">
        <v>4</v>
      </c>
      <c r="I52" s="20" t="s">
        <v>1938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1992</v>
      </c>
      <c r="D53" s="10" t="s">
        <v>1993</v>
      </c>
      <c r="E53" s="12" t="s">
        <v>58</v>
      </c>
      <c r="F53" s="20" t="s">
        <v>40</v>
      </c>
      <c r="G53" s="20" t="s">
        <v>397</v>
      </c>
      <c r="H53" s="20">
        <v>4</v>
      </c>
      <c r="I53" s="20" t="s">
        <v>1938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1994</v>
      </c>
      <c r="D54" s="10" t="s">
        <v>362</v>
      </c>
      <c r="E54" s="12" t="s">
        <v>62</v>
      </c>
      <c r="F54" s="20" t="s">
        <v>468</v>
      </c>
      <c r="G54" s="20" t="s">
        <v>397</v>
      </c>
      <c r="H54" s="20">
        <v>4</v>
      </c>
      <c r="I54" s="20" t="s">
        <v>1938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1995</v>
      </c>
      <c r="D55" s="10" t="s">
        <v>61</v>
      </c>
      <c r="E55" s="12" t="s">
        <v>62</v>
      </c>
      <c r="F55" s="20" t="s">
        <v>30</v>
      </c>
      <c r="G55" s="20" t="s">
        <v>397</v>
      </c>
      <c r="H55" s="20">
        <v>4</v>
      </c>
      <c r="I55" s="20" t="s">
        <v>1938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1996</v>
      </c>
      <c r="D56" s="10" t="s">
        <v>270</v>
      </c>
      <c r="E56" s="12" t="s">
        <v>65</v>
      </c>
      <c r="F56" s="20" t="s">
        <v>40</v>
      </c>
      <c r="G56" s="20" t="s">
        <v>397</v>
      </c>
      <c r="H56" s="20">
        <v>4</v>
      </c>
      <c r="I56" s="20" t="s">
        <v>1938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1997</v>
      </c>
      <c r="D57" s="10" t="s">
        <v>66</v>
      </c>
      <c r="E57" s="12" t="s">
        <v>67</v>
      </c>
      <c r="F57" s="20" t="s">
        <v>38</v>
      </c>
      <c r="G57" s="20" t="s">
        <v>397</v>
      </c>
      <c r="H57" s="20">
        <v>4</v>
      </c>
      <c r="I57" s="20" t="s">
        <v>1938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1998</v>
      </c>
      <c r="D58" s="10" t="s">
        <v>198</v>
      </c>
      <c r="E58" s="12" t="s">
        <v>67</v>
      </c>
      <c r="F58" s="20" t="s">
        <v>30</v>
      </c>
      <c r="G58" s="20" t="s">
        <v>397</v>
      </c>
      <c r="H58" s="20">
        <v>4</v>
      </c>
      <c r="I58" s="20" t="s">
        <v>1938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1999</v>
      </c>
      <c r="D59" s="10" t="s">
        <v>2000</v>
      </c>
      <c r="E59" s="12" t="s">
        <v>142</v>
      </c>
      <c r="F59" s="20" t="s">
        <v>40</v>
      </c>
      <c r="G59" s="20" t="s">
        <v>397</v>
      </c>
      <c r="H59" s="20">
        <v>4</v>
      </c>
      <c r="I59" s="20" t="s">
        <v>1938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2001</v>
      </c>
      <c r="D60" s="10" t="s">
        <v>2002</v>
      </c>
      <c r="E60" s="12" t="s">
        <v>71</v>
      </c>
      <c r="F60" s="20" t="s">
        <v>396</v>
      </c>
      <c r="G60" s="20" t="s">
        <v>397</v>
      </c>
      <c r="H60" s="20">
        <v>4</v>
      </c>
      <c r="I60" s="20" t="s">
        <v>1938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2003</v>
      </c>
      <c r="D61" s="10" t="s">
        <v>242</v>
      </c>
      <c r="E61" s="12" t="s">
        <v>72</v>
      </c>
      <c r="F61" s="20" t="s">
        <v>40</v>
      </c>
      <c r="G61" s="20" t="s">
        <v>397</v>
      </c>
      <c r="H61" s="20">
        <v>4</v>
      </c>
      <c r="I61" s="20" t="s">
        <v>1938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2004</v>
      </c>
      <c r="D62" s="10" t="s">
        <v>247</v>
      </c>
      <c r="E62" s="12" t="s">
        <v>72</v>
      </c>
      <c r="F62" s="20" t="s">
        <v>43</v>
      </c>
      <c r="G62" s="20" t="s">
        <v>397</v>
      </c>
      <c r="H62" s="20">
        <v>4</v>
      </c>
      <c r="I62" s="20" t="s">
        <v>1938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2005</v>
      </c>
      <c r="D63" s="10" t="s">
        <v>45</v>
      </c>
      <c r="E63" s="12" t="s">
        <v>73</v>
      </c>
      <c r="F63" s="20" t="s">
        <v>40</v>
      </c>
      <c r="G63" s="20" t="s">
        <v>397</v>
      </c>
      <c r="H63" s="20">
        <v>4</v>
      </c>
      <c r="I63" s="20" t="s">
        <v>1938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2006</v>
      </c>
      <c r="D64" s="10" t="s">
        <v>145</v>
      </c>
      <c r="E64" s="12" t="s">
        <v>77</v>
      </c>
      <c r="F64" s="20" t="s">
        <v>30</v>
      </c>
      <c r="G64" s="20" t="s">
        <v>397</v>
      </c>
      <c r="H64" s="20">
        <v>4</v>
      </c>
      <c r="I64" s="20" t="s">
        <v>1938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2007</v>
      </c>
      <c r="D65" s="10" t="s">
        <v>2008</v>
      </c>
      <c r="E65" s="12" t="s">
        <v>77</v>
      </c>
      <c r="F65" s="20" t="s">
        <v>82</v>
      </c>
      <c r="G65" s="20" t="s">
        <v>397</v>
      </c>
      <c r="H65" s="20">
        <v>4</v>
      </c>
      <c r="I65" s="20" t="s">
        <v>1938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2009</v>
      </c>
      <c r="D66" s="10" t="s">
        <v>1021</v>
      </c>
      <c r="E66" s="12" t="s">
        <v>147</v>
      </c>
      <c r="F66" s="20" t="s">
        <v>30</v>
      </c>
      <c r="G66" s="20" t="s">
        <v>397</v>
      </c>
      <c r="H66" s="20">
        <v>4</v>
      </c>
      <c r="I66" s="20" t="s">
        <v>1938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2" t="s">
        <v>2010</v>
      </c>
      <c r="D67" s="10" t="s">
        <v>298</v>
      </c>
      <c r="E67" s="12" t="s">
        <v>259</v>
      </c>
      <c r="F67" s="20" t="s">
        <v>444</v>
      </c>
      <c r="G67" s="20" t="s">
        <v>397</v>
      </c>
      <c r="H67" s="20">
        <v>4</v>
      </c>
      <c r="I67" s="20" t="s">
        <v>1938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si="1"/>
        <v/>
      </c>
    </row>
    <row r="68" spans="2:14" ht="16.5" customHeight="1">
      <c r="B68" s="15">
        <v>59</v>
      </c>
      <c r="C68" s="21" t="s">
        <v>2011</v>
      </c>
      <c r="D68" s="9" t="s">
        <v>2012</v>
      </c>
      <c r="E68" s="11" t="s">
        <v>260</v>
      </c>
      <c r="F68" s="19" t="s">
        <v>414</v>
      </c>
      <c r="G68" s="19" t="s">
        <v>397</v>
      </c>
      <c r="H68" s="19">
        <v>4</v>
      </c>
      <c r="I68" s="19" t="s">
        <v>1938</v>
      </c>
      <c r="J68" s="17" t="s">
        <v>13</v>
      </c>
      <c r="K68" s="17" t="s">
        <v>13</v>
      </c>
      <c r="L68" s="17" t="s">
        <v>13</v>
      </c>
      <c r="M68" s="17" t="s">
        <v>13</v>
      </c>
      <c r="N68" s="14" t="str">
        <f>+IF(OR($J68=0,$K68=0,$L68=0,$M68=0),"Không đủ ĐKDT","")</f>
        <v/>
      </c>
    </row>
    <row r="69" spans="2:14" ht="16.5" customHeight="1">
      <c r="B69" s="15">
        <v>60</v>
      </c>
      <c r="C69" s="22" t="s">
        <v>2013</v>
      </c>
      <c r="D69" s="10" t="s">
        <v>157</v>
      </c>
      <c r="E69" s="12" t="s">
        <v>260</v>
      </c>
      <c r="F69" s="20" t="s">
        <v>412</v>
      </c>
      <c r="G69" s="20" t="s">
        <v>397</v>
      </c>
      <c r="H69" s="20">
        <v>4</v>
      </c>
      <c r="I69" s="20" t="s">
        <v>1938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>+IF(OR($J69=0,$K69=0,$L69=0,$M69=0),"Không đủ ĐKDT","")</f>
        <v/>
      </c>
    </row>
    <row r="70" spans="2:14" ht="16.5" customHeight="1">
      <c r="B70" s="15">
        <v>61</v>
      </c>
      <c r="C70" s="22" t="s">
        <v>2014</v>
      </c>
      <c r="D70" s="10" t="s">
        <v>28</v>
      </c>
      <c r="E70" s="12" t="s">
        <v>84</v>
      </c>
      <c r="F70" s="20" t="s">
        <v>82</v>
      </c>
      <c r="G70" s="20" t="s">
        <v>397</v>
      </c>
      <c r="H70" s="20">
        <v>4</v>
      </c>
      <c r="I70" s="20" t="s">
        <v>1938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ref="N70:N96" si="2">+IF(OR($J70=0,$K70=0,$L70=0,$M70=0),"Không đủ ĐKDT","")</f>
        <v/>
      </c>
    </row>
    <row r="71" spans="2:14" ht="16.5" customHeight="1">
      <c r="B71" s="15">
        <v>62</v>
      </c>
      <c r="C71" s="22" t="s">
        <v>2015</v>
      </c>
      <c r="D71" s="10" t="s">
        <v>2016</v>
      </c>
      <c r="E71" s="12" t="s">
        <v>195</v>
      </c>
      <c r="F71" s="20" t="s">
        <v>30</v>
      </c>
      <c r="G71" s="20" t="s">
        <v>397</v>
      </c>
      <c r="H71" s="20">
        <v>4</v>
      </c>
      <c r="I71" s="20" t="s">
        <v>1938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2017</v>
      </c>
      <c r="D72" s="10" t="s">
        <v>90</v>
      </c>
      <c r="E72" s="12" t="s">
        <v>89</v>
      </c>
      <c r="F72" s="20" t="s">
        <v>30</v>
      </c>
      <c r="G72" s="20" t="s">
        <v>397</v>
      </c>
      <c r="H72" s="20">
        <v>4</v>
      </c>
      <c r="I72" s="20" t="s">
        <v>1938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2018</v>
      </c>
      <c r="D73" s="10" t="s">
        <v>2019</v>
      </c>
      <c r="E73" s="12" t="s">
        <v>91</v>
      </c>
      <c r="F73" s="20" t="s">
        <v>30</v>
      </c>
      <c r="G73" s="20" t="s">
        <v>397</v>
      </c>
      <c r="H73" s="20">
        <v>4</v>
      </c>
      <c r="I73" s="20" t="s">
        <v>1938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2020</v>
      </c>
      <c r="D74" s="10" t="s">
        <v>94</v>
      </c>
      <c r="E74" s="12" t="s">
        <v>95</v>
      </c>
      <c r="F74" s="20" t="s">
        <v>30</v>
      </c>
      <c r="G74" s="20" t="s">
        <v>397</v>
      </c>
      <c r="H74" s="20">
        <v>4</v>
      </c>
      <c r="I74" s="20" t="s">
        <v>1938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2021</v>
      </c>
      <c r="D75" s="10" t="s">
        <v>2022</v>
      </c>
      <c r="E75" s="12" t="s">
        <v>152</v>
      </c>
      <c r="F75" s="20" t="s">
        <v>414</v>
      </c>
      <c r="G75" s="20" t="s">
        <v>397</v>
      </c>
      <c r="H75" s="20">
        <v>4</v>
      </c>
      <c r="I75" s="20" t="s">
        <v>1938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2023</v>
      </c>
      <c r="D76" s="10" t="s">
        <v>124</v>
      </c>
      <c r="E76" s="12" t="s">
        <v>97</v>
      </c>
      <c r="F76" s="20" t="s">
        <v>478</v>
      </c>
      <c r="G76" s="20" t="s">
        <v>397</v>
      </c>
      <c r="H76" s="20">
        <v>4</v>
      </c>
      <c r="I76" s="20" t="s">
        <v>1938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98</v>
      </c>
      <c r="D77" s="10" t="s">
        <v>83</v>
      </c>
      <c r="E77" s="12" t="s">
        <v>97</v>
      </c>
      <c r="F77" s="20" t="s">
        <v>30</v>
      </c>
      <c r="G77" s="20" t="s">
        <v>397</v>
      </c>
      <c r="H77" s="20">
        <v>4</v>
      </c>
      <c r="I77" s="20" t="s">
        <v>1938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2024</v>
      </c>
      <c r="D78" s="10" t="s">
        <v>2025</v>
      </c>
      <c r="E78" s="12" t="s">
        <v>153</v>
      </c>
      <c r="F78" s="20" t="s">
        <v>2026</v>
      </c>
      <c r="G78" s="20" t="s">
        <v>397</v>
      </c>
      <c r="H78" s="20">
        <v>4</v>
      </c>
      <c r="I78" s="20" t="s">
        <v>1938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2027</v>
      </c>
      <c r="D79" s="10" t="s">
        <v>94</v>
      </c>
      <c r="E79" s="12" t="s">
        <v>155</v>
      </c>
      <c r="F79" s="20" t="s">
        <v>52</v>
      </c>
      <c r="G79" s="20" t="s">
        <v>397</v>
      </c>
      <c r="H79" s="20">
        <v>4</v>
      </c>
      <c r="I79" s="20" t="s">
        <v>1938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99</v>
      </c>
      <c r="D80" s="10" t="s">
        <v>100</v>
      </c>
      <c r="E80" s="12" t="s">
        <v>101</v>
      </c>
      <c r="F80" s="20" t="s">
        <v>30</v>
      </c>
      <c r="G80" s="20" t="s">
        <v>397</v>
      </c>
      <c r="H80" s="20">
        <v>4</v>
      </c>
      <c r="I80" s="20" t="s">
        <v>1938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104</v>
      </c>
      <c r="D81" s="10" t="s">
        <v>105</v>
      </c>
      <c r="E81" s="12" t="s">
        <v>106</v>
      </c>
      <c r="F81" s="20" t="s">
        <v>30</v>
      </c>
      <c r="G81" s="20" t="s">
        <v>397</v>
      </c>
      <c r="H81" s="20">
        <v>4</v>
      </c>
      <c r="I81" s="20" t="s">
        <v>1938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2028</v>
      </c>
      <c r="D82" s="10" t="s">
        <v>37</v>
      </c>
      <c r="E82" s="12" t="s">
        <v>156</v>
      </c>
      <c r="F82" s="20" t="s">
        <v>444</v>
      </c>
      <c r="G82" s="20" t="s">
        <v>397</v>
      </c>
      <c r="H82" s="20">
        <v>4</v>
      </c>
      <c r="I82" s="20" t="s">
        <v>1938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2029</v>
      </c>
      <c r="D83" s="10" t="s">
        <v>2030</v>
      </c>
      <c r="E83" s="12" t="s">
        <v>156</v>
      </c>
      <c r="F83" s="20" t="s">
        <v>405</v>
      </c>
      <c r="G83" s="20" t="s">
        <v>397</v>
      </c>
      <c r="H83" s="20">
        <v>4</v>
      </c>
      <c r="I83" s="20" t="s">
        <v>1938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2031</v>
      </c>
      <c r="D84" s="10" t="s">
        <v>63</v>
      </c>
      <c r="E84" s="12" t="s">
        <v>156</v>
      </c>
      <c r="F84" s="20" t="s">
        <v>30</v>
      </c>
      <c r="G84" s="20" t="s">
        <v>397</v>
      </c>
      <c r="H84" s="20">
        <v>4</v>
      </c>
      <c r="I84" s="20" t="s">
        <v>1938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2032</v>
      </c>
      <c r="D85" s="10" t="s">
        <v>434</v>
      </c>
      <c r="E85" s="12" t="s">
        <v>2033</v>
      </c>
      <c r="F85" s="20" t="s">
        <v>117</v>
      </c>
      <c r="G85" s="20" t="s">
        <v>397</v>
      </c>
      <c r="H85" s="20">
        <v>4</v>
      </c>
      <c r="I85" s="20" t="s">
        <v>1938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2034</v>
      </c>
      <c r="D86" s="10" t="s">
        <v>198</v>
      </c>
      <c r="E86" s="12" t="s">
        <v>158</v>
      </c>
      <c r="F86" s="20" t="s">
        <v>40</v>
      </c>
      <c r="G86" s="20" t="s">
        <v>397</v>
      </c>
      <c r="H86" s="20">
        <v>4</v>
      </c>
      <c r="I86" s="20" t="s">
        <v>1938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107</v>
      </c>
      <c r="D87" s="10" t="s">
        <v>76</v>
      </c>
      <c r="E87" s="12" t="s">
        <v>108</v>
      </c>
      <c r="F87" s="20" t="s">
        <v>30</v>
      </c>
      <c r="G87" s="20" t="s">
        <v>397</v>
      </c>
      <c r="H87" s="20">
        <v>4</v>
      </c>
      <c r="I87" s="20" t="s">
        <v>1938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2035</v>
      </c>
      <c r="D88" s="10" t="s">
        <v>2036</v>
      </c>
      <c r="E88" s="12" t="s">
        <v>161</v>
      </c>
      <c r="F88" s="20" t="s">
        <v>43</v>
      </c>
      <c r="G88" s="20" t="s">
        <v>397</v>
      </c>
      <c r="H88" s="20">
        <v>4</v>
      </c>
      <c r="I88" s="20" t="s">
        <v>1938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2037</v>
      </c>
      <c r="D89" s="10" t="s">
        <v>248</v>
      </c>
      <c r="E89" s="12" t="s">
        <v>162</v>
      </c>
      <c r="F89" s="20" t="s">
        <v>40</v>
      </c>
      <c r="G89" s="20" t="s">
        <v>397</v>
      </c>
      <c r="H89" s="20">
        <v>4</v>
      </c>
      <c r="I89" s="20" t="s">
        <v>1938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2038</v>
      </c>
      <c r="D90" s="10" t="s">
        <v>66</v>
      </c>
      <c r="E90" s="12" t="s">
        <v>128</v>
      </c>
      <c r="F90" s="20" t="s">
        <v>432</v>
      </c>
      <c r="G90" s="20" t="s">
        <v>397</v>
      </c>
      <c r="H90" s="20">
        <v>4</v>
      </c>
      <c r="I90" s="20" t="s">
        <v>1938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2039</v>
      </c>
      <c r="D91" s="10" t="s">
        <v>76</v>
      </c>
      <c r="E91" s="12" t="s">
        <v>128</v>
      </c>
      <c r="F91" s="20" t="s">
        <v>687</v>
      </c>
      <c r="G91" s="20" t="s">
        <v>397</v>
      </c>
      <c r="H91" s="20">
        <v>4</v>
      </c>
      <c r="I91" s="20" t="s">
        <v>1938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2040</v>
      </c>
      <c r="D92" s="10" t="s">
        <v>348</v>
      </c>
      <c r="E92" s="12" t="s">
        <v>128</v>
      </c>
      <c r="F92" s="20" t="s">
        <v>420</v>
      </c>
      <c r="G92" s="20" t="s">
        <v>397</v>
      </c>
      <c r="H92" s="20">
        <v>4</v>
      </c>
      <c r="I92" s="20" t="s">
        <v>1938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2041</v>
      </c>
      <c r="D93" s="10" t="s">
        <v>247</v>
      </c>
      <c r="E93" s="12" t="s">
        <v>128</v>
      </c>
      <c r="F93" s="20" t="s">
        <v>432</v>
      </c>
      <c r="G93" s="20" t="s">
        <v>397</v>
      </c>
      <c r="H93" s="20">
        <v>4</v>
      </c>
      <c r="I93" s="20" t="s">
        <v>1938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2042</v>
      </c>
      <c r="D94" s="10" t="s">
        <v>760</v>
      </c>
      <c r="E94" s="12" t="s">
        <v>203</v>
      </c>
      <c r="F94" s="20" t="s">
        <v>396</v>
      </c>
      <c r="G94" s="20" t="s">
        <v>397</v>
      </c>
      <c r="H94" s="20">
        <v>4</v>
      </c>
      <c r="I94" s="20" t="s">
        <v>1938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6.5" customHeight="1">
      <c r="B95" s="15">
        <v>86</v>
      </c>
      <c r="C95" s="22" t="s">
        <v>2043</v>
      </c>
      <c r="D95" s="10" t="s">
        <v>205</v>
      </c>
      <c r="E95" s="12" t="s">
        <v>1813</v>
      </c>
      <c r="F95" s="20" t="s">
        <v>30</v>
      </c>
      <c r="G95" s="20" t="s">
        <v>397</v>
      </c>
      <c r="H95" s="20">
        <v>4</v>
      </c>
      <c r="I95" s="20" t="s">
        <v>1938</v>
      </c>
      <c r="J95" s="18" t="s">
        <v>13</v>
      </c>
      <c r="K95" s="18" t="s">
        <v>13</v>
      </c>
      <c r="L95" s="18" t="s">
        <v>13</v>
      </c>
      <c r="M95" s="18" t="s">
        <v>13</v>
      </c>
      <c r="N95" s="16" t="str">
        <f t="shared" si="2"/>
        <v/>
      </c>
    </row>
    <row r="96" spans="2:14" ht="16.5" customHeight="1">
      <c r="B96" s="15">
        <v>87</v>
      </c>
      <c r="C96" s="22" t="s">
        <v>2044</v>
      </c>
      <c r="D96" s="10" t="s">
        <v>119</v>
      </c>
      <c r="E96" s="12" t="s">
        <v>335</v>
      </c>
      <c r="F96" s="20" t="s">
        <v>40</v>
      </c>
      <c r="G96" s="20" t="s">
        <v>397</v>
      </c>
      <c r="H96" s="20">
        <v>4</v>
      </c>
      <c r="I96" s="20" t="s">
        <v>1938</v>
      </c>
      <c r="J96" s="18" t="s">
        <v>13</v>
      </c>
      <c r="K96" s="18" t="s">
        <v>13</v>
      </c>
      <c r="L96" s="18" t="s">
        <v>13</v>
      </c>
      <c r="M96" s="18" t="s">
        <v>13</v>
      </c>
      <c r="N96" s="16" t="str">
        <f t="shared" si="2"/>
        <v/>
      </c>
    </row>
    <row r="97" spans="2:14" ht="19.5" customHeight="1">
      <c r="B97" s="64" t="s">
        <v>20</v>
      </c>
      <c r="C97" s="64"/>
      <c r="D97" s="64"/>
      <c r="E97" s="64"/>
    </row>
    <row r="98" spans="2:14" ht="19.5" customHeight="1">
      <c r="B98" s="55" t="str">
        <f>"Điểm chuyên cần: " &amp; $J$9 &amp; "% "</f>
        <v xml:space="preserve">Điểm chuyên cần: % </v>
      </c>
      <c r="C98" s="55"/>
      <c r="D98" s="55"/>
      <c r="E98" s="55"/>
    </row>
    <row r="99" spans="2:14" ht="19.5" customHeight="1">
      <c r="B99" s="55" t="str">
        <f>"Điểm trung bình kiểm tra: "&amp;$K$9&amp;"%"</f>
        <v>Điểm trung bình kiểm tra: %</v>
      </c>
      <c r="C99" s="55"/>
      <c r="D99" s="55"/>
      <c r="E99" s="55"/>
    </row>
    <row r="100" spans="2:14" ht="19.5" customHeight="1">
      <c r="B100" s="55" t="str">
        <f>"Điểm thí nghiệm, thực hành: "&amp;$L$9&amp;"%"</f>
        <v>Điểm thí nghiệm, thực hành: %</v>
      </c>
      <c r="C100" s="55"/>
      <c r="D100" s="55"/>
      <c r="E100" s="55"/>
    </row>
    <row r="101" spans="2:14" ht="19.5" customHeight="1">
      <c r="B101" s="55" t="str">
        <f>"Điểm bài tập tiểu luận, seminar: "&amp;$M$9&amp;"%"</f>
        <v>Điểm bài tập tiểu luận, seminar: %</v>
      </c>
      <c r="C101" s="55"/>
      <c r="D101" s="55"/>
      <c r="E101" s="55"/>
    </row>
    <row r="102" spans="2:14">
      <c r="J102" s="56" t="s">
        <v>21</v>
      </c>
      <c r="K102" s="56"/>
      <c r="L102" s="56"/>
      <c r="M102" s="56"/>
      <c r="N102" s="56"/>
    </row>
    <row r="103" spans="2:14" ht="32.25" customHeight="1">
      <c r="B103" s="57" t="s">
        <v>17</v>
      </c>
      <c r="C103" s="57"/>
      <c r="D103" s="57"/>
      <c r="E103" s="57"/>
      <c r="F103" s="28"/>
      <c r="G103" s="28"/>
      <c r="H103" s="28"/>
      <c r="I103" s="28"/>
      <c r="J103" s="57" t="s">
        <v>18</v>
      </c>
      <c r="K103" s="57"/>
      <c r="L103" s="57"/>
      <c r="M103" s="57"/>
      <c r="N103" s="57"/>
    </row>
    <row r="109" spans="2:14">
      <c r="J109" s="58"/>
      <c r="K109" s="58"/>
      <c r="L109" s="58"/>
      <c r="M109" s="58"/>
      <c r="N109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100:E100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7:E97"/>
    <mergeCell ref="B98:E98"/>
    <mergeCell ref="B99:E99"/>
    <mergeCell ref="L7:L8"/>
    <mergeCell ref="M7:M8"/>
    <mergeCell ref="B101:E101"/>
    <mergeCell ref="J102:N102"/>
    <mergeCell ref="B103:E103"/>
    <mergeCell ref="J103:N103"/>
    <mergeCell ref="J109:N109"/>
  </mergeCells>
  <conditionalFormatting sqref="J10:M10">
    <cfRule type="cellIs" dxfId="537" priority="55" stopIfTrue="1" operator="greaterThan">
      <formula>10</formula>
    </cfRule>
    <cfRule type="cellIs" dxfId="536" priority="56" stopIfTrue="1" operator="greaterThan">
      <formula>10</formula>
    </cfRule>
    <cfRule type="cellIs" dxfId="535" priority="57" stopIfTrue="1" operator="greaterThan">
      <formula>10</formula>
    </cfRule>
    <cfRule type="cellIs" dxfId="534" priority="58" stopIfTrue="1" operator="greaterThan">
      <formula>10</formula>
    </cfRule>
  </conditionalFormatting>
  <conditionalFormatting sqref="J11:M13">
    <cfRule type="cellIs" dxfId="533" priority="51" stopIfTrue="1" operator="greaterThan">
      <formula>10</formula>
    </cfRule>
    <cfRule type="cellIs" dxfId="532" priority="52" stopIfTrue="1" operator="greaterThan">
      <formula>10</formula>
    </cfRule>
    <cfRule type="cellIs" dxfId="531" priority="53" stopIfTrue="1" operator="greaterThan">
      <formula>10</formula>
    </cfRule>
    <cfRule type="cellIs" dxfId="530" priority="54" stopIfTrue="1" operator="greaterThan">
      <formula>10</formula>
    </cfRule>
  </conditionalFormatting>
  <conditionalFormatting sqref="J14:M15 J23:M38">
    <cfRule type="cellIs" dxfId="529" priority="47" stopIfTrue="1" operator="greaterThan">
      <formula>10</formula>
    </cfRule>
    <cfRule type="cellIs" dxfId="528" priority="48" stopIfTrue="1" operator="greaterThan">
      <formula>10</formula>
    </cfRule>
    <cfRule type="cellIs" dxfId="527" priority="49" stopIfTrue="1" operator="greaterThan">
      <formula>10</formula>
    </cfRule>
    <cfRule type="cellIs" dxfId="526" priority="50" stopIfTrue="1" operator="greaterThan">
      <formula>10</formula>
    </cfRule>
  </conditionalFormatting>
  <conditionalFormatting sqref="J16:M22">
    <cfRule type="cellIs" dxfId="525" priority="41" stopIfTrue="1" operator="greaterThan">
      <formula>10</formula>
    </cfRule>
    <cfRule type="cellIs" dxfId="524" priority="42" stopIfTrue="1" operator="greaterThan">
      <formula>10</formula>
    </cfRule>
    <cfRule type="cellIs" dxfId="523" priority="43" stopIfTrue="1" operator="greaterThan">
      <formula>10</formula>
    </cfRule>
    <cfRule type="cellIs" dxfId="522" priority="44" stopIfTrue="1" operator="greaterThan">
      <formula>10</formula>
    </cfRule>
  </conditionalFormatting>
  <conditionalFormatting sqref="C16:C22">
    <cfRule type="duplicateValues" dxfId="521" priority="45" stopIfTrue="1"/>
    <cfRule type="duplicateValues" dxfId="520" priority="46" stopIfTrue="1"/>
  </conditionalFormatting>
  <conditionalFormatting sqref="C10:C15 C23:C38">
    <cfRule type="duplicateValues" dxfId="519" priority="251" stopIfTrue="1"/>
    <cfRule type="duplicateValues" dxfId="518" priority="252" stopIfTrue="1"/>
  </conditionalFormatting>
  <conditionalFormatting sqref="J39:M39">
    <cfRule type="cellIs" dxfId="517" priority="35" stopIfTrue="1" operator="greaterThan">
      <formula>10</formula>
    </cfRule>
    <cfRule type="cellIs" dxfId="516" priority="36" stopIfTrue="1" operator="greaterThan">
      <formula>10</formula>
    </cfRule>
    <cfRule type="cellIs" dxfId="515" priority="37" stopIfTrue="1" operator="greaterThan">
      <formula>10</formula>
    </cfRule>
    <cfRule type="cellIs" dxfId="514" priority="38" stopIfTrue="1" operator="greaterThan">
      <formula>10</formula>
    </cfRule>
  </conditionalFormatting>
  <conditionalFormatting sqref="J40:M42">
    <cfRule type="cellIs" dxfId="513" priority="31" stopIfTrue="1" operator="greaterThan">
      <formula>10</formula>
    </cfRule>
    <cfRule type="cellIs" dxfId="512" priority="32" stopIfTrue="1" operator="greaterThan">
      <formula>10</formula>
    </cfRule>
    <cfRule type="cellIs" dxfId="511" priority="33" stopIfTrue="1" operator="greaterThan">
      <formula>10</formula>
    </cfRule>
    <cfRule type="cellIs" dxfId="510" priority="34" stopIfTrue="1" operator="greaterThan">
      <formula>10</formula>
    </cfRule>
  </conditionalFormatting>
  <conditionalFormatting sqref="J43:M44 J52:M67">
    <cfRule type="cellIs" dxfId="509" priority="27" stopIfTrue="1" operator="greaterThan">
      <formula>10</formula>
    </cfRule>
    <cfRule type="cellIs" dxfId="508" priority="28" stopIfTrue="1" operator="greaterThan">
      <formula>10</formula>
    </cfRule>
    <cfRule type="cellIs" dxfId="507" priority="29" stopIfTrue="1" operator="greaterThan">
      <formula>10</formula>
    </cfRule>
    <cfRule type="cellIs" dxfId="506" priority="30" stopIfTrue="1" operator="greaterThan">
      <formula>10</formula>
    </cfRule>
  </conditionalFormatting>
  <conditionalFormatting sqref="J45:M51">
    <cfRule type="cellIs" dxfId="505" priority="21" stopIfTrue="1" operator="greaterThan">
      <formula>10</formula>
    </cfRule>
    <cfRule type="cellIs" dxfId="504" priority="22" stopIfTrue="1" operator="greaterThan">
      <formula>10</formula>
    </cfRule>
    <cfRule type="cellIs" dxfId="503" priority="23" stopIfTrue="1" operator="greaterThan">
      <formula>10</formula>
    </cfRule>
    <cfRule type="cellIs" dxfId="502" priority="24" stopIfTrue="1" operator="greaterThan">
      <formula>10</formula>
    </cfRule>
  </conditionalFormatting>
  <conditionalFormatting sqref="C45:C51">
    <cfRule type="duplicateValues" dxfId="501" priority="25" stopIfTrue="1"/>
    <cfRule type="duplicateValues" dxfId="500" priority="26" stopIfTrue="1"/>
  </conditionalFormatting>
  <conditionalFormatting sqref="C39:C44 C52:C67">
    <cfRule type="duplicateValues" dxfId="499" priority="39" stopIfTrue="1"/>
    <cfRule type="duplicateValues" dxfId="498" priority="40" stopIfTrue="1"/>
  </conditionalFormatting>
  <conditionalFormatting sqref="J68:M68">
    <cfRule type="cellIs" dxfId="497" priority="15" stopIfTrue="1" operator="greaterThan">
      <formula>10</formula>
    </cfRule>
    <cfRule type="cellIs" dxfId="496" priority="16" stopIfTrue="1" operator="greaterThan">
      <formula>10</formula>
    </cfRule>
    <cfRule type="cellIs" dxfId="495" priority="17" stopIfTrue="1" operator="greaterThan">
      <formula>10</formula>
    </cfRule>
    <cfRule type="cellIs" dxfId="494" priority="18" stopIfTrue="1" operator="greaterThan">
      <formula>10</formula>
    </cfRule>
  </conditionalFormatting>
  <conditionalFormatting sqref="J69:M71">
    <cfRule type="cellIs" dxfId="493" priority="11" stopIfTrue="1" operator="greaterThan">
      <formula>10</formula>
    </cfRule>
    <cfRule type="cellIs" dxfId="492" priority="12" stopIfTrue="1" operator="greaterThan">
      <formula>10</formula>
    </cfRule>
    <cfRule type="cellIs" dxfId="491" priority="13" stopIfTrue="1" operator="greaterThan">
      <formula>10</formula>
    </cfRule>
    <cfRule type="cellIs" dxfId="490" priority="14" stopIfTrue="1" operator="greaterThan">
      <formula>10</formula>
    </cfRule>
  </conditionalFormatting>
  <conditionalFormatting sqref="J72:M73 J81:M96">
    <cfRule type="cellIs" dxfId="489" priority="7" stopIfTrue="1" operator="greaterThan">
      <formula>10</formula>
    </cfRule>
    <cfRule type="cellIs" dxfId="488" priority="8" stopIfTrue="1" operator="greaterThan">
      <formula>10</formula>
    </cfRule>
    <cfRule type="cellIs" dxfId="487" priority="9" stopIfTrue="1" operator="greaterThan">
      <formula>10</formula>
    </cfRule>
    <cfRule type="cellIs" dxfId="486" priority="10" stopIfTrue="1" operator="greaterThan">
      <formula>10</formula>
    </cfRule>
  </conditionalFormatting>
  <conditionalFormatting sqref="J74:M80">
    <cfRule type="cellIs" dxfId="485" priority="1" stopIfTrue="1" operator="greaterThan">
      <formula>10</formula>
    </cfRule>
    <cfRule type="cellIs" dxfId="484" priority="2" stopIfTrue="1" operator="greaterThan">
      <formula>10</formula>
    </cfRule>
    <cfRule type="cellIs" dxfId="483" priority="3" stopIfTrue="1" operator="greaterThan">
      <formula>10</formula>
    </cfRule>
    <cfRule type="cellIs" dxfId="482" priority="4" stopIfTrue="1" operator="greaterThan">
      <formula>10</formula>
    </cfRule>
  </conditionalFormatting>
  <conditionalFormatting sqref="C74:C80">
    <cfRule type="duplicateValues" dxfId="481" priority="5" stopIfTrue="1"/>
    <cfRule type="duplicateValues" dxfId="480" priority="6" stopIfTrue="1"/>
  </conditionalFormatting>
  <conditionalFormatting sqref="C68:C73 C81:C96">
    <cfRule type="duplicateValues" dxfId="479" priority="19" stopIfTrue="1"/>
    <cfRule type="duplicateValues" dxfId="478" priority="20" stopIfTrue="1"/>
  </conditionalFormatting>
  <dataValidations count="1">
    <dataValidation type="decimal" allowBlank="1" showInputMessage="1" showErrorMessage="1" error="Sai định dạng" sqref="J10:M96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B1:N108"/>
  <sheetViews>
    <sheetView topLeftCell="A82" workbookViewId="0">
      <selection activeCell="B34" sqref="B34:B95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BAS1224_07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1820</v>
      </c>
      <c r="D10" s="9" t="s">
        <v>239</v>
      </c>
      <c r="E10" s="11" t="s">
        <v>27</v>
      </c>
      <c r="F10" s="19" t="s">
        <v>450</v>
      </c>
      <c r="G10" s="19" t="s">
        <v>397</v>
      </c>
      <c r="H10" s="19">
        <v>4</v>
      </c>
      <c r="I10" s="19" t="s">
        <v>1821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1822</v>
      </c>
      <c r="D11" s="10" t="s">
        <v>496</v>
      </c>
      <c r="E11" s="12" t="s">
        <v>1590</v>
      </c>
      <c r="F11" s="20" t="s">
        <v>420</v>
      </c>
      <c r="G11" s="20" t="s">
        <v>397</v>
      </c>
      <c r="H11" s="20">
        <v>4</v>
      </c>
      <c r="I11" s="20" t="s">
        <v>1821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1823</v>
      </c>
      <c r="D12" s="10" t="s">
        <v>68</v>
      </c>
      <c r="E12" s="12" t="s">
        <v>31</v>
      </c>
      <c r="F12" s="20" t="s">
        <v>117</v>
      </c>
      <c r="G12" s="20" t="s">
        <v>397</v>
      </c>
      <c r="H12" s="20">
        <v>4</v>
      </c>
      <c r="I12" s="20" t="s">
        <v>1821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1824</v>
      </c>
      <c r="D13" s="10" t="s">
        <v>896</v>
      </c>
      <c r="E13" s="12" t="s">
        <v>1217</v>
      </c>
      <c r="F13" s="20" t="s">
        <v>701</v>
      </c>
      <c r="G13" s="20" t="s">
        <v>397</v>
      </c>
      <c r="H13" s="20">
        <v>4</v>
      </c>
      <c r="I13" s="20" t="s">
        <v>1821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1825</v>
      </c>
      <c r="D14" s="10" t="s">
        <v>170</v>
      </c>
      <c r="E14" s="12" t="s">
        <v>178</v>
      </c>
      <c r="F14" s="20" t="s">
        <v>420</v>
      </c>
      <c r="G14" s="20" t="s">
        <v>397</v>
      </c>
      <c r="H14" s="20">
        <v>4</v>
      </c>
      <c r="I14" s="20" t="s">
        <v>1821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1826</v>
      </c>
      <c r="D15" s="10" t="s">
        <v>76</v>
      </c>
      <c r="E15" s="12" t="s">
        <v>418</v>
      </c>
      <c r="F15" s="20" t="s">
        <v>444</v>
      </c>
      <c r="G15" s="20" t="s">
        <v>397</v>
      </c>
      <c r="H15" s="20">
        <v>4</v>
      </c>
      <c r="I15" s="20" t="s">
        <v>1821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1827</v>
      </c>
      <c r="D16" s="10" t="s">
        <v>240</v>
      </c>
      <c r="E16" s="12" t="s">
        <v>1828</v>
      </c>
      <c r="F16" s="20" t="s">
        <v>687</v>
      </c>
      <c r="G16" s="20" t="s">
        <v>397</v>
      </c>
      <c r="H16" s="20">
        <v>4</v>
      </c>
      <c r="I16" s="20" t="s">
        <v>1821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1829</v>
      </c>
      <c r="D17" s="10" t="s">
        <v>76</v>
      </c>
      <c r="E17" s="12" t="s">
        <v>426</v>
      </c>
      <c r="F17" s="20" t="s">
        <v>414</v>
      </c>
      <c r="G17" s="20" t="s">
        <v>397</v>
      </c>
      <c r="H17" s="20">
        <v>4</v>
      </c>
      <c r="I17" s="20" t="s">
        <v>1821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1830</v>
      </c>
      <c r="D18" s="10" t="s">
        <v>471</v>
      </c>
      <c r="E18" s="12" t="s">
        <v>180</v>
      </c>
      <c r="F18" s="20" t="s">
        <v>756</v>
      </c>
      <c r="G18" s="20" t="s">
        <v>397</v>
      </c>
      <c r="H18" s="20">
        <v>4</v>
      </c>
      <c r="I18" s="20" t="s">
        <v>1821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1831</v>
      </c>
      <c r="D19" s="10" t="s">
        <v>76</v>
      </c>
      <c r="E19" s="12" t="s">
        <v>180</v>
      </c>
      <c r="F19" s="20" t="s">
        <v>43</v>
      </c>
      <c r="G19" s="20" t="s">
        <v>397</v>
      </c>
      <c r="H19" s="20">
        <v>4</v>
      </c>
      <c r="I19" s="20" t="s">
        <v>1821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1832</v>
      </c>
      <c r="D20" s="10" t="s">
        <v>1833</v>
      </c>
      <c r="E20" s="12" t="s">
        <v>970</v>
      </c>
      <c r="F20" s="20" t="s">
        <v>701</v>
      </c>
      <c r="G20" s="20" t="s">
        <v>397</v>
      </c>
      <c r="H20" s="20">
        <v>4</v>
      </c>
      <c r="I20" s="20" t="s">
        <v>1821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1834</v>
      </c>
      <c r="D21" s="10" t="s">
        <v>1835</v>
      </c>
      <c r="E21" s="12" t="s">
        <v>181</v>
      </c>
      <c r="F21" s="20" t="s">
        <v>414</v>
      </c>
      <c r="G21" s="20" t="s">
        <v>397</v>
      </c>
      <c r="H21" s="20">
        <v>4</v>
      </c>
      <c r="I21" s="20" t="s">
        <v>1821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1836</v>
      </c>
      <c r="D22" s="10" t="s">
        <v>247</v>
      </c>
      <c r="E22" s="12" t="s">
        <v>1598</v>
      </c>
      <c r="F22" s="20" t="s">
        <v>690</v>
      </c>
      <c r="G22" s="20" t="s">
        <v>397</v>
      </c>
      <c r="H22" s="20">
        <v>4</v>
      </c>
      <c r="I22" s="20" t="s">
        <v>1821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1837</v>
      </c>
      <c r="D23" s="10" t="s">
        <v>434</v>
      </c>
      <c r="E23" s="12" t="s">
        <v>36</v>
      </c>
      <c r="F23" s="20" t="s">
        <v>52</v>
      </c>
      <c r="G23" s="20" t="s">
        <v>397</v>
      </c>
      <c r="H23" s="20">
        <v>4</v>
      </c>
      <c r="I23" s="20" t="s">
        <v>1821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1838</v>
      </c>
      <c r="D24" s="10" t="s">
        <v>973</v>
      </c>
      <c r="E24" s="12" t="s">
        <v>136</v>
      </c>
      <c r="F24" s="20" t="s">
        <v>40</v>
      </c>
      <c r="G24" s="20" t="s">
        <v>397</v>
      </c>
      <c r="H24" s="20">
        <v>4</v>
      </c>
      <c r="I24" s="20" t="s">
        <v>1821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1839</v>
      </c>
      <c r="D25" s="10" t="s">
        <v>1840</v>
      </c>
      <c r="E25" s="12" t="s">
        <v>136</v>
      </c>
      <c r="F25" s="20" t="s">
        <v>43</v>
      </c>
      <c r="G25" s="20" t="s">
        <v>397</v>
      </c>
      <c r="H25" s="20">
        <v>4</v>
      </c>
      <c r="I25" s="20" t="s">
        <v>1821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1841</v>
      </c>
      <c r="D26" s="10" t="s">
        <v>1842</v>
      </c>
      <c r="E26" s="12" t="s">
        <v>136</v>
      </c>
      <c r="F26" s="20" t="s">
        <v>687</v>
      </c>
      <c r="G26" s="20" t="s">
        <v>397</v>
      </c>
      <c r="H26" s="20">
        <v>4</v>
      </c>
      <c r="I26" s="20" t="s">
        <v>1821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1843</v>
      </c>
      <c r="D27" s="10" t="s">
        <v>184</v>
      </c>
      <c r="E27" s="12" t="s">
        <v>39</v>
      </c>
      <c r="F27" s="20" t="s">
        <v>687</v>
      </c>
      <c r="G27" s="20" t="s">
        <v>397</v>
      </c>
      <c r="H27" s="20">
        <v>4</v>
      </c>
      <c r="I27" s="20" t="s">
        <v>1821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1844</v>
      </c>
      <c r="D28" s="10" t="s">
        <v>1845</v>
      </c>
      <c r="E28" s="12" t="s">
        <v>44</v>
      </c>
      <c r="F28" s="20" t="s">
        <v>412</v>
      </c>
      <c r="G28" s="20" t="s">
        <v>397</v>
      </c>
      <c r="H28" s="20">
        <v>4</v>
      </c>
      <c r="I28" s="20" t="s">
        <v>1821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1846</v>
      </c>
      <c r="D29" s="10" t="s">
        <v>199</v>
      </c>
      <c r="E29" s="12" t="s">
        <v>44</v>
      </c>
      <c r="F29" s="20" t="s">
        <v>720</v>
      </c>
      <c r="G29" s="20" t="s">
        <v>397</v>
      </c>
      <c r="H29" s="20">
        <v>4</v>
      </c>
      <c r="I29" s="20" t="s">
        <v>1821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1847</v>
      </c>
      <c r="D30" s="10" t="s">
        <v>199</v>
      </c>
      <c r="E30" s="12" t="s">
        <v>44</v>
      </c>
      <c r="F30" s="20" t="s">
        <v>687</v>
      </c>
      <c r="G30" s="20" t="s">
        <v>397</v>
      </c>
      <c r="H30" s="20">
        <v>4</v>
      </c>
      <c r="I30" s="20" t="s">
        <v>1821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1848</v>
      </c>
      <c r="D31" s="10" t="s">
        <v>1849</v>
      </c>
      <c r="E31" s="12" t="s">
        <v>44</v>
      </c>
      <c r="F31" s="20" t="s">
        <v>117</v>
      </c>
      <c r="G31" s="20" t="s">
        <v>397</v>
      </c>
      <c r="H31" s="20">
        <v>4</v>
      </c>
      <c r="I31" s="20" t="s">
        <v>1821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1850</v>
      </c>
      <c r="D32" s="10" t="s">
        <v>1851</v>
      </c>
      <c r="E32" s="12" t="s">
        <v>188</v>
      </c>
      <c r="F32" s="20" t="s">
        <v>687</v>
      </c>
      <c r="G32" s="20" t="s">
        <v>397</v>
      </c>
      <c r="H32" s="20">
        <v>4</v>
      </c>
      <c r="I32" s="20" t="s">
        <v>1821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1852</v>
      </c>
      <c r="D33" s="10" t="s">
        <v>32</v>
      </c>
      <c r="E33" s="12" t="s">
        <v>46</v>
      </c>
      <c r="F33" s="20" t="s">
        <v>117</v>
      </c>
      <c r="G33" s="20" t="s">
        <v>397</v>
      </c>
      <c r="H33" s="20">
        <v>4</v>
      </c>
      <c r="I33" s="20" t="s">
        <v>1821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1853</v>
      </c>
      <c r="D34" s="10" t="s">
        <v>311</v>
      </c>
      <c r="E34" s="12" t="s">
        <v>213</v>
      </c>
      <c r="F34" s="20" t="s">
        <v>82</v>
      </c>
      <c r="G34" s="20" t="s">
        <v>397</v>
      </c>
      <c r="H34" s="20">
        <v>4</v>
      </c>
      <c r="I34" s="20" t="s">
        <v>1821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1854</v>
      </c>
      <c r="D35" s="10" t="s">
        <v>76</v>
      </c>
      <c r="E35" s="12" t="s">
        <v>269</v>
      </c>
      <c r="F35" s="20" t="s">
        <v>456</v>
      </c>
      <c r="G35" s="20" t="s">
        <v>397</v>
      </c>
      <c r="H35" s="20">
        <v>4</v>
      </c>
      <c r="I35" s="20" t="s">
        <v>1821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1855</v>
      </c>
      <c r="D36" s="10" t="s">
        <v>1856</v>
      </c>
      <c r="E36" s="12" t="s">
        <v>235</v>
      </c>
      <c r="F36" s="20" t="s">
        <v>720</v>
      </c>
      <c r="G36" s="20" t="s">
        <v>397</v>
      </c>
      <c r="H36" s="20">
        <v>4</v>
      </c>
      <c r="I36" s="20" t="s">
        <v>1821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1857</v>
      </c>
      <c r="D37" s="10" t="s">
        <v>76</v>
      </c>
      <c r="E37" s="12" t="s">
        <v>48</v>
      </c>
      <c r="F37" s="20" t="s">
        <v>30</v>
      </c>
      <c r="G37" s="20" t="s">
        <v>397</v>
      </c>
      <c r="H37" s="20">
        <v>4</v>
      </c>
      <c r="I37" s="20" t="s">
        <v>1821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1858</v>
      </c>
      <c r="D38" s="10" t="s">
        <v>61</v>
      </c>
      <c r="E38" s="12" t="s">
        <v>48</v>
      </c>
      <c r="F38" s="20" t="s">
        <v>690</v>
      </c>
      <c r="G38" s="20" t="s">
        <v>397</v>
      </c>
      <c r="H38" s="20">
        <v>4</v>
      </c>
      <c r="I38" s="20" t="s">
        <v>1821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1859</v>
      </c>
      <c r="D39" s="9" t="s">
        <v>1264</v>
      </c>
      <c r="E39" s="11" t="s">
        <v>1860</v>
      </c>
      <c r="F39" s="19" t="s">
        <v>756</v>
      </c>
      <c r="G39" s="19" t="s">
        <v>397</v>
      </c>
      <c r="H39" s="19">
        <v>4</v>
      </c>
      <c r="I39" s="19" t="s">
        <v>1821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1861</v>
      </c>
      <c r="D40" s="10" t="s">
        <v>189</v>
      </c>
      <c r="E40" s="12" t="s">
        <v>49</v>
      </c>
      <c r="F40" s="20" t="s">
        <v>450</v>
      </c>
      <c r="G40" s="20" t="s">
        <v>397</v>
      </c>
      <c r="H40" s="20">
        <v>4</v>
      </c>
      <c r="I40" s="20" t="s">
        <v>1821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1862</v>
      </c>
      <c r="D41" s="10" t="s">
        <v>292</v>
      </c>
      <c r="E41" s="12" t="s">
        <v>49</v>
      </c>
      <c r="F41" s="20" t="s">
        <v>468</v>
      </c>
      <c r="G41" s="20" t="s">
        <v>397</v>
      </c>
      <c r="H41" s="20">
        <v>4</v>
      </c>
      <c r="I41" s="20" t="s">
        <v>1821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7" si="1">+IF(OR($J41=0,$K41=0,$L41=0,$M41=0),"Không đủ ĐKDT","")</f>
        <v/>
      </c>
    </row>
    <row r="42" spans="2:14" ht="16.5" customHeight="1">
      <c r="B42" s="15">
        <v>33</v>
      </c>
      <c r="C42" s="22" t="s">
        <v>1863</v>
      </c>
      <c r="D42" s="10" t="s">
        <v>1864</v>
      </c>
      <c r="E42" s="12" t="s">
        <v>49</v>
      </c>
      <c r="F42" s="20" t="s">
        <v>692</v>
      </c>
      <c r="G42" s="20" t="s">
        <v>397</v>
      </c>
      <c r="H42" s="20">
        <v>4</v>
      </c>
      <c r="I42" s="20" t="s">
        <v>1821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1865</v>
      </c>
      <c r="D43" s="10" t="s">
        <v>146</v>
      </c>
      <c r="E43" s="12" t="s">
        <v>49</v>
      </c>
      <c r="F43" s="20" t="s">
        <v>30</v>
      </c>
      <c r="G43" s="20" t="s">
        <v>397</v>
      </c>
      <c r="H43" s="20">
        <v>4</v>
      </c>
      <c r="I43" s="20" t="s">
        <v>1821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1866</v>
      </c>
      <c r="D44" s="10" t="s">
        <v>146</v>
      </c>
      <c r="E44" s="12" t="s">
        <v>49</v>
      </c>
      <c r="F44" s="20" t="s">
        <v>687</v>
      </c>
      <c r="G44" s="20" t="s">
        <v>397</v>
      </c>
      <c r="H44" s="20">
        <v>4</v>
      </c>
      <c r="I44" s="20" t="s">
        <v>1821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1867</v>
      </c>
      <c r="D45" s="10" t="s">
        <v>1868</v>
      </c>
      <c r="E45" s="12" t="s">
        <v>215</v>
      </c>
      <c r="F45" s="20" t="s">
        <v>82</v>
      </c>
      <c r="G45" s="20" t="s">
        <v>397</v>
      </c>
      <c r="H45" s="20">
        <v>4</v>
      </c>
      <c r="I45" s="20" t="s">
        <v>1821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1869</v>
      </c>
      <c r="D46" s="10" t="s">
        <v>332</v>
      </c>
      <c r="E46" s="12" t="s">
        <v>215</v>
      </c>
      <c r="F46" s="20" t="s">
        <v>40</v>
      </c>
      <c r="G46" s="20" t="s">
        <v>397</v>
      </c>
      <c r="H46" s="20">
        <v>4</v>
      </c>
      <c r="I46" s="20" t="s">
        <v>1821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1870</v>
      </c>
      <c r="D47" s="10" t="s">
        <v>1871</v>
      </c>
      <c r="E47" s="12" t="s">
        <v>53</v>
      </c>
      <c r="F47" s="20" t="s">
        <v>1872</v>
      </c>
      <c r="G47" s="20" t="s">
        <v>397</v>
      </c>
      <c r="H47" s="20">
        <v>4</v>
      </c>
      <c r="I47" s="20" t="s">
        <v>1821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1873</v>
      </c>
      <c r="D48" s="10" t="s">
        <v>237</v>
      </c>
      <c r="E48" s="12" t="s">
        <v>53</v>
      </c>
      <c r="F48" s="20" t="s">
        <v>43</v>
      </c>
      <c r="G48" s="20" t="s">
        <v>397</v>
      </c>
      <c r="H48" s="20">
        <v>4</v>
      </c>
      <c r="I48" s="20" t="s">
        <v>1821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1874</v>
      </c>
      <c r="D49" s="10" t="s">
        <v>187</v>
      </c>
      <c r="E49" s="12" t="s">
        <v>53</v>
      </c>
      <c r="F49" s="20" t="s">
        <v>38</v>
      </c>
      <c r="G49" s="20" t="s">
        <v>397</v>
      </c>
      <c r="H49" s="20">
        <v>4</v>
      </c>
      <c r="I49" s="20" t="s">
        <v>1821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1875</v>
      </c>
      <c r="D50" s="10" t="s">
        <v>76</v>
      </c>
      <c r="E50" s="12" t="s">
        <v>58</v>
      </c>
      <c r="F50" s="20" t="s">
        <v>450</v>
      </c>
      <c r="G50" s="20" t="s">
        <v>397</v>
      </c>
      <c r="H50" s="20">
        <v>4</v>
      </c>
      <c r="I50" s="20" t="s">
        <v>1821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1876</v>
      </c>
      <c r="D51" s="10" t="s">
        <v>312</v>
      </c>
      <c r="E51" s="12" t="s">
        <v>65</v>
      </c>
      <c r="F51" s="20" t="s">
        <v>43</v>
      </c>
      <c r="G51" s="20" t="s">
        <v>397</v>
      </c>
      <c r="H51" s="20">
        <v>4</v>
      </c>
      <c r="I51" s="20" t="s">
        <v>1821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1877</v>
      </c>
      <c r="D52" s="10" t="s">
        <v>1878</v>
      </c>
      <c r="E52" s="12" t="s">
        <v>342</v>
      </c>
      <c r="F52" s="20" t="s">
        <v>720</v>
      </c>
      <c r="G52" s="20" t="s">
        <v>397</v>
      </c>
      <c r="H52" s="20">
        <v>4</v>
      </c>
      <c r="I52" s="20" t="s">
        <v>1821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1879</v>
      </c>
      <c r="D53" s="10" t="s">
        <v>1880</v>
      </c>
      <c r="E53" s="12" t="s">
        <v>342</v>
      </c>
      <c r="F53" s="20" t="s">
        <v>756</v>
      </c>
      <c r="G53" s="20" t="s">
        <v>397</v>
      </c>
      <c r="H53" s="20">
        <v>4</v>
      </c>
      <c r="I53" s="20" t="s">
        <v>1821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1881</v>
      </c>
      <c r="D54" s="10" t="s">
        <v>133</v>
      </c>
      <c r="E54" s="12" t="s">
        <v>1399</v>
      </c>
      <c r="F54" s="20" t="s">
        <v>694</v>
      </c>
      <c r="G54" s="20" t="s">
        <v>397</v>
      </c>
      <c r="H54" s="20">
        <v>4</v>
      </c>
      <c r="I54" s="20" t="s">
        <v>1821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1882</v>
      </c>
      <c r="D55" s="10" t="s">
        <v>119</v>
      </c>
      <c r="E55" s="12" t="s">
        <v>142</v>
      </c>
      <c r="F55" s="20" t="s">
        <v>412</v>
      </c>
      <c r="G55" s="20" t="s">
        <v>397</v>
      </c>
      <c r="H55" s="20">
        <v>4</v>
      </c>
      <c r="I55" s="20" t="s">
        <v>1821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1883</v>
      </c>
      <c r="D56" s="10" t="s">
        <v>184</v>
      </c>
      <c r="E56" s="12" t="s">
        <v>143</v>
      </c>
      <c r="F56" s="20" t="s">
        <v>675</v>
      </c>
      <c r="G56" s="20" t="s">
        <v>397</v>
      </c>
      <c r="H56" s="20">
        <v>4</v>
      </c>
      <c r="I56" s="20" t="s">
        <v>1821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1884</v>
      </c>
      <c r="D57" s="10" t="s">
        <v>1885</v>
      </c>
      <c r="E57" s="12" t="s">
        <v>143</v>
      </c>
      <c r="F57" s="20" t="s">
        <v>696</v>
      </c>
      <c r="G57" s="20" t="s">
        <v>397</v>
      </c>
      <c r="H57" s="20">
        <v>4</v>
      </c>
      <c r="I57" s="20" t="s">
        <v>1821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1886</v>
      </c>
      <c r="D58" s="10" t="s">
        <v>1887</v>
      </c>
      <c r="E58" s="12" t="s">
        <v>71</v>
      </c>
      <c r="F58" s="20" t="s">
        <v>40</v>
      </c>
      <c r="G58" s="20" t="s">
        <v>397</v>
      </c>
      <c r="H58" s="20">
        <v>4</v>
      </c>
      <c r="I58" s="20" t="s">
        <v>1821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1888</v>
      </c>
      <c r="D59" s="10" t="s">
        <v>261</v>
      </c>
      <c r="E59" s="12" t="s">
        <v>72</v>
      </c>
      <c r="F59" s="20" t="s">
        <v>756</v>
      </c>
      <c r="G59" s="20" t="s">
        <v>397</v>
      </c>
      <c r="H59" s="20">
        <v>4</v>
      </c>
      <c r="I59" s="20" t="s">
        <v>1821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1889</v>
      </c>
      <c r="D60" s="10" t="s">
        <v>256</v>
      </c>
      <c r="E60" s="12" t="s">
        <v>75</v>
      </c>
      <c r="F60" s="20" t="s">
        <v>690</v>
      </c>
      <c r="G60" s="20" t="s">
        <v>397</v>
      </c>
      <c r="H60" s="20">
        <v>4</v>
      </c>
      <c r="I60" s="20" t="s">
        <v>1821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1890</v>
      </c>
      <c r="D61" s="10" t="s">
        <v>1891</v>
      </c>
      <c r="E61" s="12" t="s">
        <v>75</v>
      </c>
      <c r="F61" s="20" t="s">
        <v>1350</v>
      </c>
      <c r="G61" s="20" t="s">
        <v>397</v>
      </c>
      <c r="H61" s="20">
        <v>4</v>
      </c>
      <c r="I61" s="20" t="s">
        <v>1821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1892</v>
      </c>
      <c r="D62" s="10" t="s">
        <v>1893</v>
      </c>
      <c r="E62" s="12" t="s">
        <v>77</v>
      </c>
      <c r="F62" s="20" t="s">
        <v>396</v>
      </c>
      <c r="G62" s="20" t="s">
        <v>397</v>
      </c>
      <c r="H62" s="20">
        <v>4</v>
      </c>
      <c r="I62" s="20" t="s">
        <v>1821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1894</v>
      </c>
      <c r="D63" s="10" t="s">
        <v>1895</v>
      </c>
      <c r="E63" s="12" t="s">
        <v>77</v>
      </c>
      <c r="F63" s="20" t="s">
        <v>43</v>
      </c>
      <c r="G63" s="20" t="s">
        <v>397</v>
      </c>
      <c r="H63" s="20">
        <v>4</v>
      </c>
      <c r="I63" s="20" t="s">
        <v>1821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1896</v>
      </c>
      <c r="D64" s="10" t="s">
        <v>593</v>
      </c>
      <c r="E64" s="12" t="s">
        <v>77</v>
      </c>
      <c r="F64" s="20" t="s">
        <v>687</v>
      </c>
      <c r="G64" s="20" t="s">
        <v>397</v>
      </c>
      <c r="H64" s="20">
        <v>4</v>
      </c>
      <c r="I64" s="20" t="s">
        <v>1821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1897</v>
      </c>
      <c r="D65" s="10" t="s">
        <v>1026</v>
      </c>
      <c r="E65" s="12" t="s">
        <v>1530</v>
      </c>
      <c r="F65" s="20" t="s">
        <v>450</v>
      </c>
      <c r="G65" s="20" t="s">
        <v>397</v>
      </c>
      <c r="H65" s="20">
        <v>4</v>
      </c>
      <c r="I65" s="20" t="s">
        <v>1821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1898</v>
      </c>
      <c r="D66" s="10" t="s">
        <v>1899</v>
      </c>
      <c r="E66" s="12" t="s">
        <v>148</v>
      </c>
      <c r="F66" s="20" t="s">
        <v>692</v>
      </c>
      <c r="G66" s="20" t="s">
        <v>397</v>
      </c>
      <c r="H66" s="20">
        <v>4</v>
      </c>
      <c r="I66" s="20" t="s">
        <v>1821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2" t="s">
        <v>1900</v>
      </c>
      <c r="D67" s="10" t="s">
        <v>1901</v>
      </c>
      <c r="E67" s="12" t="s">
        <v>81</v>
      </c>
      <c r="F67" s="20" t="s">
        <v>756</v>
      </c>
      <c r="G67" s="20" t="s">
        <v>397</v>
      </c>
      <c r="H67" s="20">
        <v>4</v>
      </c>
      <c r="I67" s="20" t="s">
        <v>1821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si="1"/>
        <v/>
      </c>
    </row>
    <row r="68" spans="2:14" ht="16.5" customHeight="1">
      <c r="B68" s="15">
        <v>59</v>
      </c>
      <c r="C68" s="21" t="s">
        <v>1902</v>
      </c>
      <c r="D68" s="9" t="s">
        <v>242</v>
      </c>
      <c r="E68" s="11" t="s">
        <v>195</v>
      </c>
      <c r="F68" s="19" t="s">
        <v>38</v>
      </c>
      <c r="G68" s="19" t="s">
        <v>397</v>
      </c>
      <c r="H68" s="19">
        <v>4</v>
      </c>
      <c r="I68" s="19" t="s">
        <v>1821</v>
      </c>
      <c r="J68" s="17" t="s">
        <v>13</v>
      </c>
      <c r="K68" s="17" t="s">
        <v>13</v>
      </c>
      <c r="L68" s="17" t="s">
        <v>13</v>
      </c>
      <c r="M68" s="17" t="s">
        <v>13</v>
      </c>
      <c r="N68" s="14" t="str">
        <f>+IF(OR($J68=0,$K68=0,$L68=0,$M68=0),"Không đủ ĐKDT","")</f>
        <v/>
      </c>
    </row>
    <row r="69" spans="2:14" ht="16.5" customHeight="1">
      <c r="B69" s="15">
        <v>60</v>
      </c>
      <c r="C69" s="22" t="s">
        <v>1903</v>
      </c>
      <c r="D69" s="10" t="s">
        <v>66</v>
      </c>
      <c r="E69" s="12" t="s">
        <v>889</v>
      </c>
      <c r="F69" s="20" t="s">
        <v>756</v>
      </c>
      <c r="G69" s="20" t="s">
        <v>397</v>
      </c>
      <c r="H69" s="20">
        <v>4</v>
      </c>
      <c r="I69" s="20" t="s">
        <v>1821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>+IF(OR($J69=0,$K69=0,$L69=0,$M69=0),"Không đủ ĐKDT","")</f>
        <v/>
      </c>
    </row>
    <row r="70" spans="2:14" ht="16.5" customHeight="1">
      <c r="B70" s="15">
        <v>61</v>
      </c>
      <c r="C70" s="22" t="s">
        <v>1904</v>
      </c>
      <c r="D70" s="10" t="s">
        <v>66</v>
      </c>
      <c r="E70" s="12" t="s">
        <v>91</v>
      </c>
      <c r="F70" s="20" t="s">
        <v>701</v>
      </c>
      <c r="G70" s="20" t="s">
        <v>397</v>
      </c>
      <c r="H70" s="20">
        <v>4</v>
      </c>
      <c r="I70" s="20" t="s">
        <v>1821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ref="N70:N95" si="2">+IF(OR($J70=0,$K70=0,$L70=0,$M70=0),"Không đủ ĐKDT","")</f>
        <v/>
      </c>
    </row>
    <row r="71" spans="2:14" ht="16.5" customHeight="1">
      <c r="B71" s="15">
        <v>62</v>
      </c>
      <c r="C71" s="22" t="s">
        <v>1905</v>
      </c>
      <c r="D71" s="10" t="s">
        <v>154</v>
      </c>
      <c r="E71" s="12" t="s">
        <v>93</v>
      </c>
      <c r="F71" s="20" t="s">
        <v>687</v>
      </c>
      <c r="G71" s="20" t="s">
        <v>397</v>
      </c>
      <c r="H71" s="20">
        <v>4</v>
      </c>
      <c r="I71" s="20" t="s">
        <v>1821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1906</v>
      </c>
      <c r="D72" s="10" t="s">
        <v>45</v>
      </c>
      <c r="E72" s="12" t="s">
        <v>223</v>
      </c>
      <c r="F72" s="20" t="s">
        <v>450</v>
      </c>
      <c r="G72" s="20" t="s">
        <v>397</v>
      </c>
      <c r="H72" s="20">
        <v>4</v>
      </c>
      <c r="I72" s="20" t="s">
        <v>1821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1907</v>
      </c>
      <c r="D73" s="10" t="s">
        <v>1908</v>
      </c>
      <c r="E73" s="12" t="s">
        <v>1909</v>
      </c>
      <c r="F73" s="20" t="s">
        <v>40</v>
      </c>
      <c r="G73" s="20" t="s">
        <v>397</v>
      </c>
      <c r="H73" s="20">
        <v>4</v>
      </c>
      <c r="I73" s="20" t="s">
        <v>1821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1910</v>
      </c>
      <c r="D74" s="10" t="s">
        <v>32</v>
      </c>
      <c r="E74" s="12" t="s">
        <v>106</v>
      </c>
      <c r="F74" s="20" t="s">
        <v>692</v>
      </c>
      <c r="G74" s="20" t="s">
        <v>397</v>
      </c>
      <c r="H74" s="20">
        <v>4</v>
      </c>
      <c r="I74" s="20" t="s">
        <v>1821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1911</v>
      </c>
      <c r="D75" s="10" t="s">
        <v>1912</v>
      </c>
      <c r="E75" s="12" t="s">
        <v>156</v>
      </c>
      <c r="F75" s="20" t="s">
        <v>40</v>
      </c>
      <c r="G75" s="20" t="s">
        <v>397</v>
      </c>
      <c r="H75" s="20">
        <v>4</v>
      </c>
      <c r="I75" s="20" t="s">
        <v>1821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1913</v>
      </c>
      <c r="D76" s="10" t="s">
        <v>214</v>
      </c>
      <c r="E76" s="12" t="s">
        <v>158</v>
      </c>
      <c r="F76" s="20" t="s">
        <v>756</v>
      </c>
      <c r="G76" s="20" t="s">
        <v>397</v>
      </c>
      <c r="H76" s="20">
        <v>4</v>
      </c>
      <c r="I76" s="20" t="s">
        <v>1821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1914</v>
      </c>
      <c r="D77" s="10" t="s">
        <v>254</v>
      </c>
      <c r="E77" s="12" t="s">
        <v>158</v>
      </c>
      <c r="F77" s="20" t="s">
        <v>468</v>
      </c>
      <c r="G77" s="20" t="s">
        <v>397</v>
      </c>
      <c r="H77" s="20">
        <v>4</v>
      </c>
      <c r="I77" s="20" t="s">
        <v>1821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1915</v>
      </c>
      <c r="D78" s="10" t="s">
        <v>254</v>
      </c>
      <c r="E78" s="12" t="s">
        <v>158</v>
      </c>
      <c r="F78" s="20" t="s">
        <v>683</v>
      </c>
      <c r="G78" s="20" t="s">
        <v>397</v>
      </c>
      <c r="H78" s="20">
        <v>4</v>
      </c>
      <c r="I78" s="20" t="s">
        <v>1821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1916</v>
      </c>
      <c r="D79" s="10" t="s">
        <v>240</v>
      </c>
      <c r="E79" s="12" t="s">
        <v>158</v>
      </c>
      <c r="F79" s="20" t="s">
        <v>720</v>
      </c>
      <c r="G79" s="20" t="s">
        <v>397</v>
      </c>
      <c r="H79" s="20">
        <v>4</v>
      </c>
      <c r="I79" s="20" t="s">
        <v>1821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1917</v>
      </c>
      <c r="D80" s="10" t="s">
        <v>1918</v>
      </c>
      <c r="E80" s="12" t="s">
        <v>1919</v>
      </c>
      <c r="F80" s="20" t="s">
        <v>82</v>
      </c>
      <c r="G80" s="20" t="s">
        <v>397</v>
      </c>
      <c r="H80" s="20">
        <v>4</v>
      </c>
      <c r="I80" s="20" t="s">
        <v>1821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1920</v>
      </c>
      <c r="D81" s="10" t="s">
        <v>274</v>
      </c>
      <c r="E81" s="12" t="s">
        <v>275</v>
      </c>
      <c r="F81" s="20" t="s">
        <v>756</v>
      </c>
      <c r="G81" s="20" t="s">
        <v>397</v>
      </c>
      <c r="H81" s="20">
        <v>4</v>
      </c>
      <c r="I81" s="20" t="s">
        <v>1821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1921</v>
      </c>
      <c r="D82" s="10" t="s">
        <v>157</v>
      </c>
      <c r="E82" s="12" t="s">
        <v>1059</v>
      </c>
      <c r="F82" s="20" t="s">
        <v>468</v>
      </c>
      <c r="G82" s="20" t="s">
        <v>397</v>
      </c>
      <c r="H82" s="20">
        <v>4</v>
      </c>
      <c r="I82" s="20" t="s">
        <v>1821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1922</v>
      </c>
      <c r="D83" s="10" t="s">
        <v>248</v>
      </c>
      <c r="E83" s="12" t="s">
        <v>162</v>
      </c>
      <c r="F83" s="20" t="s">
        <v>692</v>
      </c>
      <c r="G83" s="20" t="s">
        <v>397</v>
      </c>
      <c r="H83" s="20">
        <v>4</v>
      </c>
      <c r="I83" s="20" t="s">
        <v>1821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1923</v>
      </c>
      <c r="D84" s="10" t="s">
        <v>191</v>
      </c>
      <c r="E84" s="12" t="s">
        <v>162</v>
      </c>
      <c r="F84" s="20" t="s">
        <v>756</v>
      </c>
      <c r="G84" s="20" t="s">
        <v>397</v>
      </c>
      <c r="H84" s="20">
        <v>4</v>
      </c>
      <c r="I84" s="20" t="s">
        <v>1821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1924</v>
      </c>
      <c r="D85" s="10" t="s">
        <v>434</v>
      </c>
      <c r="E85" s="12" t="s">
        <v>661</v>
      </c>
      <c r="F85" s="20" t="s">
        <v>701</v>
      </c>
      <c r="G85" s="20" t="s">
        <v>397</v>
      </c>
      <c r="H85" s="20">
        <v>4</v>
      </c>
      <c r="I85" s="20" t="s">
        <v>1821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1925</v>
      </c>
      <c r="D86" s="10" t="s">
        <v>243</v>
      </c>
      <c r="E86" s="12" t="s">
        <v>165</v>
      </c>
      <c r="F86" s="20" t="s">
        <v>675</v>
      </c>
      <c r="G86" s="20" t="s">
        <v>397</v>
      </c>
      <c r="H86" s="20">
        <v>4</v>
      </c>
      <c r="I86" s="20" t="s">
        <v>1821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1926</v>
      </c>
      <c r="D87" s="10" t="s">
        <v>211</v>
      </c>
      <c r="E87" s="12" t="s">
        <v>1315</v>
      </c>
      <c r="F87" s="20" t="s">
        <v>692</v>
      </c>
      <c r="G87" s="20" t="s">
        <v>397</v>
      </c>
      <c r="H87" s="20">
        <v>4</v>
      </c>
      <c r="I87" s="20" t="s">
        <v>1821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1927</v>
      </c>
      <c r="D88" s="10" t="s">
        <v>127</v>
      </c>
      <c r="E88" s="12" t="s">
        <v>122</v>
      </c>
      <c r="F88" s="20" t="s">
        <v>478</v>
      </c>
      <c r="G88" s="20" t="s">
        <v>397</v>
      </c>
      <c r="H88" s="20">
        <v>4</v>
      </c>
      <c r="I88" s="20" t="s">
        <v>1821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1928</v>
      </c>
      <c r="D89" s="10" t="s">
        <v>252</v>
      </c>
      <c r="E89" s="12" t="s">
        <v>128</v>
      </c>
      <c r="F89" s="20" t="s">
        <v>30</v>
      </c>
      <c r="G89" s="20" t="s">
        <v>397</v>
      </c>
      <c r="H89" s="20">
        <v>4</v>
      </c>
      <c r="I89" s="20" t="s">
        <v>1821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1929</v>
      </c>
      <c r="D90" s="10" t="s">
        <v>63</v>
      </c>
      <c r="E90" s="12" t="s">
        <v>128</v>
      </c>
      <c r="F90" s="20" t="s">
        <v>756</v>
      </c>
      <c r="G90" s="20" t="s">
        <v>397</v>
      </c>
      <c r="H90" s="20">
        <v>4</v>
      </c>
      <c r="I90" s="20" t="s">
        <v>1821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1930</v>
      </c>
      <c r="D91" s="10" t="s">
        <v>216</v>
      </c>
      <c r="E91" s="12" t="s">
        <v>203</v>
      </c>
      <c r="F91" s="20" t="s">
        <v>675</v>
      </c>
      <c r="G91" s="20" t="s">
        <v>397</v>
      </c>
      <c r="H91" s="20">
        <v>4</v>
      </c>
      <c r="I91" s="20" t="s">
        <v>1821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1931</v>
      </c>
      <c r="D92" s="10" t="s">
        <v>1932</v>
      </c>
      <c r="E92" s="12" t="s">
        <v>203</v>
      </c>
      <c r="F92" s="20" t="s">
        <v>687</v>
      </c>
      <c r="G92" s="20" t="s">
        <v>397</v>
      </c>
      <c r="H92" s="20">
        <v>4</v>
      </c>
      <c r="I92" s="20" t="s">
        <v>1821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1933</v>
      </c>
      <c r="D93" s="10" t="s">
        <v>434</v>
      </c>
      <c r="E93" s="12" t="s">
        <v>203</v>
      </c>
      <c r="F93" s="20" t="s">
        <v>690</v>
      </c>
      <c r="G93" s="20" t="s">
        <v>397</v>
      </c>
      <c r="H93" s="20">
        <v>4</v>
      </c>
      <c r="I93" s="20" t="s">
        <v>1821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1934</v>
      </c>
      <c r="D94" s="10" t="s">
        <v>127</v>
      </c>
      <c r="E94" s="12" t="s">
        <v>1813</v>
      </c>
      <c r="F94" s="20" t="s">
        <v>585</v>
      </c>
      <c r="G94" s="20" t="s">
        <v>397</v>
      </c>
      <c r="H94" s="20">
        <v>4</v>
      </c>
      <c r="I94" s="20" t="s">
        <v>1821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6.5" customHeight="1">
      <c r="B95" s="15">
        <v>86</v>
      </c>
      <c r="C95" s="22" t="s">
        <v>1935</v>
      </c>
      <c r="D95" s="10" t="s">
        <v>276</v>
      </c>
      <c r="E95" s="12" t="s">
        <v>277</v>
      </c>
      <c r="F95" s="20" t="s">
        <v>756</v>
      </c>
      <c r="G95" s="20" t="s">
        <v>397</v>
      </c>
      <c r="H95" s="20">
        <v>4</v>
      </c>
      <c r="I95" s="20" t="s">
        <v>1821</v>
      </c>
      <c r="J95" s="18" t="s">
        <v>13</v>
      </c>
      <c r="K95" s="18" t="s">
        <v>13</v>
      </c>
      <c r="L95" s="18" t="s">
        <v>13</v>
      </c>
      <c r="M95" s="18" t="s">
        <v>13</v>
      </c>
      <c r="N95" s="16" t="str">
        <f t="shared" si="2"/>
        <v/>
      </c>
    </row>
    <row r="96" spans="2:14" ht="19.5" customHeight="1">
      <c r="B96" s="64" t="s">
        <v>20</v>
      </c>
      <c r="C96" s="64"/>
      <c r="D96" s="64"/>
      <c r="E96" s="64"/>
    </row>
    <row r="97" spans="2:14" ht="19.5" customHeight="1">
      <c r="B97" s="55" t="str">
        <f>"Điểm chuyên cần: " &amp; $J$9 &amp; "% "</f>
        <v xml:space="preserve">Điểm chuyên cần: % </v>
      </c>
      <c r="C97" s="55"/>
      <c r="D97" s="55"/>
      <c r="E97" s="55"/>
    </row>
    <row r="98" spans="2:14" ht="19.5" customHeight="1">
      <c r="B98" s="55" t="str">
        <f>"Điểm trung bình kiểm tra: "&amp;$K$9&amp;"%"</f>
        <v>Điểm trung bình kiểm tra: %</v>
      </c>
      <c r="C98" s="55"/>
      <c r="D98" s="55"/>
      <c r="E98" s="55"/>
    </row>
    <row r="99" spans="2:14" ht="19.5" customHeight="1">
      <c r="B99" s="55" t="str">
        <f>"Điểm thí nghiệm, thực hành: "&amp;$L$9&amp;"%"</f>
        <v>Điểm thí nghiệm, thực hành: %</v>
      </c>
      <c r="C99" s="55"/>
      <c r="D99" s="55"/>
      <c r="E99" s="55"/>
    </row>
    <row r="100" spans="2:14" ht="19.5" customHeight="1">
      <c r="B100" s="55" t="str">
        <f>"Điểm bài tập tiểu luận, seminar: "&amp;$M$9&amp;"%"</f>
        <v>Điểm bài tập tiểu luận, seminar: %</v>
      </c>
      <c r="C100" s="55"/>
      <c r="D100" s="55"/>
      <c r="E100" s="55"/>
    </row>
    <row r="101" spans="2:14">
      <c r="J101" s="56" t="s">
        <v>21</v>
      </c>
      <c r="K101" s="56"/>
      <c r="L101" s="56"/>
      <c r="M101" s="56"/>
      <c r="N101" s="56"/>
    </row>
    <row r="102" spans="2:14" ht="32.25" customHeight="1">
      <c r="B102" s="57" t="s">
        <v>17</v>
      </c>
      <c r="C102" s="57"/>
      <c r="D102" s="57"/>
      <c r="E102" s="57"/>
      <c r="F102" s="28"/>
      <c r="G102" s="28"/>
      <c r="H102" s="28"/>
      <c r="I102" s="28"/>
      <c r="J102" s="57" t="s">
        <v>18</v>
      </c>
      <c r="K102" s="57"/>
      <c r="L102" s="57"/>
      <c r="M102" s="57"/>
      <c r="N102" s="57"/>
    </row>
    <row r="108" spans="2:14">
      <c r="J108" s="58"/>
      <c r="K108" s="58"/>
      <c r="L108" s="58"/>
      <c r="M108" s="58"/>
      <c r="N108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9:E99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6:E96"/>
    <mergeCell ref="B97:E97"/>
    <mergeCell ref="B98:E98"/>
    <mergeCell ref="L7:L8"/>
    <mergeCell ref="M7:M8"/>
    <mergeCell ref="B100:E100"/>
    <mergeCell ref="J101:N101"/>
    <mergeCell ref="B102:E102"/>
    <mergeCell ref="J102:N102"/>
    <mergeCell ref="J108:N108"/>
  </mergeCells>
  <conditionalFormatting sqref="J10:M10">
    <cfRule type="cellIs" dxfId="477" priority="55" stopIfTrue="1" operator="greaterThan">
      <formula>10</formula>
    </cfRule>
    <cfRule type="cellIs" dxfId="476" priority="56" stopIfTrue="1" operator="greaterThan">
      <formula>10</formula>
    </cfRule>
    <cfRule type="cellIs" dxfId="475" priority="57" stopIfTrue="1" operator="greaterThan">
      <formula>10</formula>
    </cfRule>
    <cfRule type="cellIs" dxfId="474" priority="58" stopIfTrue="1" operator="greaterThan">
      <formula>10</formula>
    </cfRule>
  </conditionalFormatting>
  <conditionalFormatting sqref="J11:M13">
    <cfRule type="cellIs" dxfId="473" priority="51" stopIfTrue="1" operator="greaterThan">
      <formula>10</formula>
    </cfRule>
    <cfRule type="cellIs" dxfId="472" priority="52" stopIfTrue="1" operator="greaterThan">
      <formula>10</formula>
    </cfRule>
    <cfRule type="cellIs" dxfId="471" priority="53" stopIfTrue="1" operator="greaterThan">
      <formula>10</formula>
    </cfRule>
    <cfRule type="cellIs" dxfId="470" priority="54" stopIfTrue="1" operator="greaterThan">
      <formula>10</formula>
    </cfRule>
  </conditionalFormatting>
  <conditionalFormatting sqref="J14:M15 J23:M38">
    <cfRule type="cellIs" dxfId="469" priority="47" stopIfTrue="1" operator="greaterThan">
      <formula>10</formula>
    </cfRule>
    <cfRule type="cellIs" dxfId="468" priority="48" stopIfTrue="1" operator="greaterThan">
      <formula>10</formula>
    </cfRule>
    <cfRule type="cellIs" dxfId="467" priority="49" stopIfTrue="1" operator="greaterThan">
      <formula>10</formula>
    </cfRule>
    <cfRule type="cellIs" dxfId="466" priority="50" stopIfTrue="1" operator="greaterThan">
      <formula>10</formula>
    </cfRule>
  </conditionalFormatting>
  <conditionalFormatting sqref="J16:M22">
    <cfRule type="cellIs" dxfId="465" priority="41" stopIfTrue="1" operator="greaterThan">
      <formula>10</formula>
    </cfRule>
    <cfRule type="cellIs" dxfId="464" priority="42" stopIfTrue="1" operator="greaterThan">
      <formula>10</formula>
    </cfRule>
    <cfRule type="cellIs" dxfId="463" priority="43" stopIfTrue="1" operator="greaterThan">
      <formula>10</formula>
    </cfRule>
    <cfRule type="cellIs" dxfId="462" priority="44" stopIfTrue="1" operator="greaterThan">
      <formula>10</formula>
    </cfRule>
  </conditionalFormatting>
  <conditionalFormatting sqref="C16:C22">
    <cfRule type="duplicateValues" dxfId="461" priority="45" stopIfTrue="1"/>
    <cfRule type="duplicateValues" dxfId="460" priority="46" stopIfTrue="1"/>
  </conditionalFormatting>
  <conditionalFormatting sqref="C10:C15 C23:C38">
    <cfRule type="duplicateValues" dxfId="459" priority="245" stopIfTrue="1"/>
    <cfRule type="duplicateValues" dxfId="458" priority="246" stopIfTrue="1"/>
  </conditionalFormatting>
  <conditionalFormatting sqref="J39:M39">
    <cfRule type="cellIs" dxfId="457" priority="35" stopIfTrue="1" operator="greaterThan">
      <formula>10</formula>
    </cfRule>
    <cfRule type="cellIs" dxfId="456" priority="36" stopIfTrue="1" operator="greaterThan">
      <formula>10</formula>
    </cfRule>
    <cfRule type="cellIs" dxfId="455" priority="37" stopIfTrue="1" operator="greaterThan">
      <formula>10</formula>
    </cfRule>
    <cfRule type="cellIs" dxfId="454" priority="38" stopIfTrue="1" operator="greaterThan">
      <formula>10</formula>
    </cfRule>
  </conditionalFormatting>
  <conditionalFormatting sqref="J40:M42">
    <cfRule type="cellIs" dxfId="453" priority="31" stopIfTrue="1" operator="greaterThan">
      <formula>10</formula>
    </cfRule>
    <cfRule type="cellIs" dxfId="452" priority="32" stopIfTrue="1" operator="greaterThan">
      <formula>10</formula>
    </cfRule>
    <cfRule type="cellIs" dxfId="451" priority="33" stopIfTrue="1" operator="greaterThan">
      <formula>10</formula>
    </cfRule>
    <cfRule type="cellIs" dxfId="450" priority="34" stopIfTrue="1" operator="greaterThan">
      <formula>10</formula>
    </cfRule>
  </conditionalFormatting>
  <conditionalFormatting sqref="J43:M44 J52:M67">
    <cfRule type="cellIs" dxfId="449" priority="27" stopIfTrue="1" operator="greaterThan">
      <formula>10</formula>
    </cfRule>
    <cfRule type="cellIs" dxfId="448" priority="28" stopIfTrue="1" operator="greaterThan">
      <formula>10</formula>
    </cfRule>
    <cfRule type="cellIs" dxfId="447" priority="29" stopIfTrue="1" operator="greaterThan">
      <formula>10</formula>
    </cfRule>
    <cfRule type="cellIs" dxfId="446" priority="30" stopIfTrue="1" operator="greaterThan">
      <formula>10</formula>
    </cfRule>
  </conditionalFormatting>
  <conditionalFormatting sqref="J45:M51">
    <cfRule type="cellIs" dxfId="445" priority="21" stopIfTrue="1" operator="greaterThan">
      <formula>10</formula>
    </cfRule>
    <cfRule type="cellIs" dxfId="444" priority="22" stopIfTrue="1" operator="greaterThan">
      <formula>10</formula>
    </cfRule>
    <cfRule type="cellIs" dxfId="443" priority="23" stopIfTrue="1" operator="greaterThan">
      <formula>10</formula>
    </cfRule>
    <cfRule type="cellIs" dxfId="442" priority="24" stopIfTrue="1" operator="greaterThan">
      <formula>10</formula>
    </cfRule>
  </conditionalFormatting>
  <conditionalFormatting sqref="C45:C51">
    <cfRule type="duplicateValues" dxfId="441" priority="25" stopIfTrue="1"/>
    <cfRule type="duplicateValues" dxfId="440" priority="26" stopIfTrue="1"/>
  </conditionalFormatting>
  <conditionalFormatting sqref="C39:C44 C52:C67">
    <cfRule type="duplicateValues" dxfId="439" priority="39" stopIfTrue="1"/>
    <cfRule type="duplicateValues" dxfId="438" priority="40" stopIfTrue="1"/>
  </conditionalFormatting>
  <conditionalFormatting sqref="J68:M68">
    <cfRule type="cellIs" dxfId="437" priority="15" stopIfTrue="1" operator="greaterThan">
      <formula>10</formula>
    </cfRule>
    <cfRule type="cellIs" dxfId="436" priority="16" stopIfTrue="1" operator="greaterThan">
      <formula>10</formula>
    </cfRule>
    <cfRule type="cellIs" dxfId="435" priority="17" stopIfTrue="1" operator="greaterThan">
      <formula>10</formula>
    </cfRule>
    <cfRule type="cellIs" dxfId="434" priority="18" stopIfTrue="1" operator="greaterThan">
      <formula>10</formula>
    </cfRule>
  </conditionalFormatting>
  <conditionalFormatting sqref="J69:M71">
    <cfRule type="cellIs" dxfId="433" priority="11" stopIfTrue="1" operator="greaterThan">
      <formula>10</formula>
    </cfRule>
    <cfRule type="cellIs" dxfId="432" priority="12" stopIfTrue="1" operator="greaterThan">
      <formula>10</formula>
    </cfRule>
    <cfRule type="cellIs" dxfId="431" priority="13" stopIfTrue="1" operator="greaterThan">
      <formula>10</formula>
    </cfRule>
    <cfRule type="cellIs" dxfId="430" priority="14" stopIfTrue="1" operator="greaterThan">
      <formula>10</formula>
    </cfRule>
  </conditionalFormatting>
  <conditionalFormatting sqref="J72:M73 J81:M95">
    <cfRule type="cellIs" dxfId="429" priority="7" stopIfTrue="1" operator="greaterThan">
      <formula>10</formula>
    </cfRule>
    <cfRule type="cellIs" dxfId="428" priority="8" stopIfTrue="1" operator="greaterThan">
      <formula>10</formula>
    </cfRule>
    <cfRule type="cellIs" dxfId="427" priority="9" stopIfTrue="1" operator="greaterThan">
      <formula>10</formula>
    </cfRule>
    <cfRule type="cellIs" dxfId="426" priority="10" stopIfTrue="1" operator="greaterThan">
      <formula>10</formula>
    </cfRule>
  </conditionalFormatting>
  <conditionalFormatting sqref="J74:M80">
    <cfRule type="cellIs" dxfId="425" priority="1" stopIfTrue="1" operator="greaterThan">
      <formula>10</formula>
    </cfRule>
    <cfRule type="cellIs" dxfId="424" priority="2" stopIfTrue="1" operator="greaterThan">
      <formula>10</formula>
    </cfRule>
    <cfRule type="cellIs" dxfId="423" priority="3" stopIfTrue="1" operator="greaterThan">
      <formula>10</formula>
    </cfRule>
    <cfRule type="cellIs" dxfId="422" priority="4" stopIfTrue="1" operator="greaterThan">
      <formula>10</formula>
    </cfRule>
  </conditionalFormatting>
  <conditionalFormatting sqref="C74:C80">
    <cfRule type="duplicateValues" dxfId="421" priority="5" stopIfTrue="1"/>
    <cfRule type="duplicateValues" dxfId="420" priority="6" stopIfTrue="1"/>
  </conditionalFormatting>
  <conditionalFormatting sqref="C68:C73 C81:C95">
    <cfRule type="duplicateValues" dxfId="419" priority="19" stopIfTrue="1"/>
    <cfRule type="duplicateValues" dxfId="418" priority="20" stopIfTrue="1"/>
  </conditionalFormatting>
  <dataValidations count="1">
    <dataValidation type="decimal" allowBlank="1" showInputMessage="1" showErrorMessage="1" error="Sai định dạng" sqref="J10:M95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B1:N107"/>
  <sheetViews>
    <sheetView topLeftCell="A84" workbookViewId="0">
      <selection activeCell="P96" sqref="P96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BAS1224_06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1697</v>
      </c>
      <c r="D10" s="9" t="s">
        <v>1698</v>
      </c>
      <c r="E10" s="11" t="s">
        <v>26</v>
      </c>
      <c r="F10" s="19" t="s">
        <v>456</v>
      </c>
      <c r="G10" s="19" t="s">
        <v>397</v>
      </c>
      <c r="H10" s="19">
        <v>4</v>
      </c>
      <c r="I10" s="19" t="s">
        <v>1699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1700</v>
      </c>
      <c r="D11" s="10" t="s">
        <v>41</v>
      </c>
      <c r="E11" s="12" t="s">
        <v>26</v>
      </c>
      <c r="F11" s="20" t="s">
        <v>901</v>
      </c>
      <c r="G11" s="20" t="s">
        <v>397</v>
      </c>
      <c r="H11" s="20">
        <v>4</v>
      </c>
      <c r="I11" s="20" t="s">
        <v>1699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1701</v>
      </c>
      <c r="D12" s="10" t="s">
        <v>1702</v>
      </c>
      <c r="E12" s="12" t="s">
        <v>26</v>
      </c>
      <c r="F12" s="20" t="s">
        <v>756</v>
      </c>
      <c r="G12" s="20" t="s">
        <v>397</v>
      </c>
      <c r="H12" s="20">
        <v>4</v>
      </c>
      <c r="I12" s="20" t="s">
        <v>1699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1703</v>
      </c>
      <c r="D13" s="10" t="s">
        <v>1704</v>
      </c>
      <c r="E13" s="12" t="s">
        <v>27</v>
      </c>
      <c r="F13" s="20" t="s">
        <v>40</v>
      </c>
      <c r="G13" s="20" t="s">
        <v>397</v>
      </c>
      <c r="H13" s="20">
        <v>4</v>
      </c>
      <c r="I13" s="20" t="s">
        <v>1699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1705</v>
      </c>
      <c r="D14" s="10" t="s">
        <v>37</v>
      </c>
      <c r="E14" s="12" t="s">
        <v>27</v>
      </c>
      <c r="F14" s="20" t="s">
        <v>420</v>
      </c>
      <c r="G14" s="20" t="s">
        <v>397</v>
      </c>
      <c r="H14" s="20">
        <v>4</v>
      </c>
      <c r="I14" s="20" t="s">
        <v>1699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1706</v>
      </c>
      <c r="D15" s="10" t="s">
        <v>1707</v>
      </c>
      <c r="E15" s="12" t="s">
        <v>27</v>
      </c>
      <c r="F15" s="20" t="s">
        <v>756</v>
      </c>
      <c r="G15" s="20" t="s">
        <v>397</v>
      </c>
      <c r="H15" s="20">
        <v>4</v>
      </c>
      <c r="I15" s="20" t="s">
        <v>1699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1708</v>
      </c>
      <c r="D16" s="10" t="s">
        <v>1709</v>
      </c>
      <c r="E16" s="12" t="s">
        <v>27</v>
      </c>
      <c r="F16" s="20" t="s">
        <v>396</v>
      </c>
      <c r="G16" s="20" t="s">
        <v>397</v>
      </c>
      <c r="H16" s="20">
        <v>4</v>
      </c>
      <c r="I16" s="20" t="s">
        <v>1699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1710</v>
      </c>
      <c r="D17" s="10" t="s">
        <v>434</v>
      </c>
      <c r="E17" s="12" t="s">
        <v>178</v>
      </c>
      <c r="F17" s="20" t="s">
        <v>432</v>
      </c>
      <c r="G17" s="20" t="s">
        <v>397</v>
      </c>
      <c r="H17" s="20">
        <v>4</v>
      </c>
      <c r="I17" s="20" t="s">
        <v>1699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1711</v>
      </c>
      <c r="D18" s="10" t="s">
        <v>1712</v>
      </c>
      <c r="E18" s="12" t="s">
        <v>330</v>
      </c>
      <c r="F18" s="20" t="s">
        <v>683</v>
      </c>
      <c r="G18" s="20" t="s">
        <v>397</v>
      </c>
      <c r="H18" s="20">
        <v>4</v>
      </c>
      <c r="I18" s="20" t="s">
        <v>1699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1713</v>
      </c>
      <c r="D19" s="10" t="s">
        <v>200</v>
      </c>
      <c r="E19" s="12" t="s">
        <v>33</v>
      </c>
      <c r="F19" s="20" t="s">
        <v>683</v>
      </c>
      <c r="G19" s="20" t="s">
        <v>397</v>
      </c>
      <c r="H19" s="20">
        <v>4</v>
      </c>
      <c r="I19" s="20" t="s">
        <v>1699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1714</v>
      </c>
      <c r="D20" s="10" t="s">
        <v>281</v>
      </c>
      <c r="E20" s="12" t="s">
        <v>289</v>
      </c>
      <c r="F20" s="20" t="s">
        <v>687</v>
      </c>
      <c r="G20" s="20" t="s">
        <v>397</v>
      </c>
      <c r="H20" s="20">
        <v>4</v>
      </c>
      <c r="I20" s="20" t="s">
        <v>1699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1715</v>
      </c>
      <c r="D21" s="10" t="s">
        <v>1716</v>
      </c>
      <c r="E21" s="12" t="s">
        <v>180</v>
      </c>
      <c r="F21" s="20" t="s">
        <v>456</v>
      </c>
      <c r="G21" s="20" t="s">
        <v>397</v>
      </c>
      <c r="H21" s="20">
        <v>4</v>
      </c>
      <c r="I21" s="20" t="s">
        <v>1699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1717</v>
      </c>
      <c r="D22" s="10" t="s">
        <v>76</v>
      </c>
      <c r="E22" s="12" t="s">
        <v>1718</v>
      </c>
      <c r="F22" s="20" t="s">
        <v>756</v>
      </c>
      <c r="G22" s="20" t="s">
        <v>397</v>
      </c>
      <c r="H22" s="20">
        <v>4</v>
      </c>
      <c r="I22" s="20" t="s">
        <v>1699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1719</v>
      </c>
      <c r="D23" s="10" t="s">
        <v>139</v>
      </c>
      <c r="E23" s="12" t="s">
        <v>36</v>
      </c>
      <c r="F23" s="20" t="s">
        <v>412</v>
      </c>
      <c r="G23" s="20" t="s">
        <v>397</v>
      </c>
      <c r="H23" s="20">
        <v>4</v>
      </c>
      <c r="I23" s="20" t="s">
        <v>1699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1720</v>
      </c>
      <c r="D24" s="10" t="s">
        <v>78</v>
      </c>
      <c r="E24" s="12" t="s">
        <v>36</v>
      </c>
      <c r="F24" s="20" t="s">
        <v>82</v>
      </c>
      <c r="G24" s="20" t="s">
        <v>397</v>
      </c>
      <c r="H24" s="20">
        <v>4</v>
      </c>
      <c r="I24" s="20" t="s">
        <v>1699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1721</v>
      </c>
      <c r="D25" s="10" t="s">
        <v>1722</v>
      </c>
      <c r="E25" s="12" t="s">
        <v>135</v>
      </c>
      <c r="F25" s="20" t="s">
        <v>432</v>
      </c>
      <c r="G25" s="20" t="s">
        <v>397</v>
      </c>
      <c r="H25" s="20">
        <v>4</v>
      </c>
      <c r="I25" s="20" t="s">
        <v>1699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1723</v>
      </c>
      <c r="D26" s="10" t="s">
        <v>1724</v>
      </c>
      <c r="E26" s="12" t="s">
        <v>136</v>
      </c>
      <c r="F26" s="20" t="s">
        <v>720</v>
      </c>
      <c r="G26" s="20" t="s">
        <v>397</v>
      </c>
      <c r="H26" s="20">
        <v>4</v>
      </c>
      <c r="I26" s="20" t="s">
        <v>1699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1725</v>
      </c>
      <c r="D27" s="10" t="s">
        <v>1516</v>
      </c>
      <c r="E27" s="12" t="s">
        <v>136</v>
      </c>
      <c r="F27" s="20" t="s">
        <v>683</v>
      </c>
      <c r="G27" s="20" t="s">
        <v>397</v>
      </c>
      <c r="H27" s="20">
        <v>4</v>
      </c>
      <c r="I27" s="20" t="s">
        <v>1699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1726</v>
      </c>
      <c r="D28" s="10" t="s">
        <v>231</v>
      </c>
      <c r="E28" s="12" t="s">
        <v>136</v>
      </c>
      <c r="F28" s="20" t="s">
        <v>450</v>
      </c>
      <c r="G28" s="20" t="s">
        <v>397</v>
      </c>
      <c r="H28" s="20">
        <v>4</v>
      </c>
      <c r="I28" s="20" t="s">
        <v>1699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1727</v>
      </c>
      <c r="D29" s="10" t="s">
        <v>37</v>
      </c>
      <c r="E29" s="12" t="s">
        <v>267</v>
      </c>
      <c r="F29" s="20" t="s">
        <v>450</v>
      </c>
      <c r="G29" s="20" t="s">
        <v>397</v>
      </c>
      <c r="H29" s="20">
        <v>4</v>
      </c>
      <c r="I29" s="20" t="s">
        <v>1699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1728</v>
      </c>
      <c r="D30" s="10" t="s">
        <v>1729</v>
      </c>
      <c r="E30" s="12" t="s">
        <v>44</v>
      </c>
      <c r="F30" s="20" t="s">
        <v>675</v>
      </c>
      <c r="G30" s="20" t="s">
        <v>397</v>
      </c>
      <c r="H30" s="20">
        <v>4</v>
      </c>
      <c r="I30" s="20" t="s">
        <v>1699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1730</v>
      </c>
      <c r="D31" s="10" t="s">
        <v>63</v>
      </c>
      <c r="E31" s="12" t="s">
        <v>44</v>
      </c>
      <c r="F31" s="20" t="s">
        <v>696</v>
      </c>
      <c r="G31" s="20" t="s">
        <v>397</v>
      </c>
      <c r="H31" s="20">
        <v>4</v>
      </c>
      <c r="I31" s="20" t="s">
        <v>1699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1731</v>
      </c>
      <c r="D32" s="10" t="s">
        <v>214</v>
      </c>
      <c r="E32" s="12" t="s">
        <v>1732</v>
      </c>
      <c r="F32" s="20" t="s">
        <v>414</v>
      </c>
      <c r="G32" s="20" t="s">
        <v>397</v>
      </c>
      <c r="H32" s="20">
        <v>4</v>
      </c>
      <c r="I32" s="20" t="s">
        <v>1699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1733</v>
      </c>
      <c r="D33" s="10" t="s">
        <v>1205</v>
      </c>
      <c r="E33" s="12" t="s">
        <v>49</v>
      </c>
      <c r="F33" s="20" t="s">
        <v>405</v>
      </c>
      <c r="G33" s="20" t="s">
        <v>397</v>
      </c>
      <c r="H33" s="20">
        <v>4</v>
      </c>
      <c r="I33" s="20" t="s">
        <v>1699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1734</v>
      </c>
      <c r="D34" s="10" t="s">
        <v>1735</v>
      </c>
      <c r="E34" s="12" t="s">
        <v>49</v>
      </c>
      <c r="F34" s="20" t="s">
        <v>456</v>
      </c>
      <c r="G34" s="20" t="s">
        <v>397</v>
      </c>
      <c r="H34" s="20">
        <v>4</v>
      </c>
      <c r="I34" s="20" t="s">
        <v>1699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1736</v>
      </c>
      <c r="D35" s="10" t="s">
        <v>379</v>
      </c>
      <c r="E35" s="12" t="s">
        <v>49</v>
      </c>
      <c r="F35" s="20" t="s">
        <v>720</v>
      </c>
      <c r="G35" s="20" t="s">
        <v>397</v>
      </c>
      <c r="H35" s="20">
        <v>4</v>
      </c>
      <c r="I35" s="20" t="s">
        <v>1699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1737</v>
      </c>
      <c r="D36" s="10" t="s">
        <v>573</v>
      </c>
      <c r="E36" s="12" t="s">
        <v>53</v>
      </c>
      <c r="F36" s="20" t="s">
        <v>432</v>
      </c>
      <c r="G36" s="20" t="s">
        <v>397</v>
      </c>
      <c r="H36" s="20">
        <v>4</v>
      </c>
      <c r="I36" s="20" t="s">
        <v>1699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1738</v>
      </c>
      <c r="D37" s="10" t="s">
        <v>76</v>
      </c>
      <c r="E37" s="12" t="s">
        <v>53</v>
      </c>
      <c r="F37" s="20" t="s">
        <v>52</v>
      </c>
      <c r="G37" s="20" t="s">
        <v>397</v>
      </c>
      <c r="H37" s="20">
        <v>4</v>
      </c>
      <c r="I37" s="20" t="s">
        <v>1699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1739</v>
      </c>
      <c r="D38" s="10" t="s">
        <v>57</v>
      </c>
      <c r="E38" s="12" t="s">
        <v>56</v>
      </c>
      <c r="F38" s="20" t="s">
        <v>432</v>
      </c>
      <c r="G38" s="20" t="s">
        <v>397</v>
      </c>
      <c r="H38" s="20">
        <v>4</v>
      </c>
      <c r="I38" s="20" t="s">
        <v>1699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1740</v>
      </c>
      <c r="D39" s="9" t="s">
        <v>510</v>
      </c>
      <c r="E39" s="11" t="s">
        <v>56</v>
      </c>
      <c r="F39" s="19" t="s">
        <v>444</v>
      </c>
      <c r="G39" s="19" t="s">
        <v>397</v>
      </c>
      <c r="H39" s="19">
        <v>4</v>
      </c>
      <c r="I39" s="19" t="s">
        <v>1699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1741</v>
      </c>
      <c r="D40" s="10" t="s">
        <v>90</v>
      </c>
      <c r="E40" s="12" t="s">
        <v>56</v>
      </c>
      <c r="F40" s="20" t="s">
        <v>82</v>
      </c>
      <c r="G40" s="20" t="s">
        <v>397</v>
      </c>
      <c r="H40" s="20">
        <v>4</v>
      </c>
      <c r="I40" s="20" t="s">
        <v>1699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1742</v>
      </c>
      <c r="D41" s="10" t="s">
        <v>1743</v>
      </c>
      <c r="E41" s="12" t="s">
        <v>58</v>
      </c>
      <c r="F41" s="20" t="s">
        <v>396</v>
      </c>
      <c r="G41" s="20" t="s">
        <v>397</v>
      </c>
      <c r="H41" s="20">
        <v>4</v>
      </c>
      <c r="I41" s="20" t="s">
        <v>1699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6" si="1">+IF(OR($J41=0,$K41=0,$L41=0,$M41=0),"Không đủ ĐKDT","")</f>
        <v/>
      </c>
    </row>
    <row r="42" spans="2:14" ht="16.5" customHeight="1">
      <c r="B42" s="15">
        <v>33</v>
      </c>
      <c r="C42" s="22" t="s">
        <v>1744</v>
      </c>
      <c r="D42" s="10" t="s">
        <v>1745</v>
      </c>
      <c r="E42" s="12" t="s">
        <v>58</v>
      </c>
      <c r="F42" s="20" t="s">
        <v>396</v>
      </c>
      <c r="G42" s="20" t="s">
        <v>397</v>
      </c>
      <c r="H42" s="20">
        <v>4</v>
      </c>
      <c r="I42" s="20" t="s">
        <v>1699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1746</v>
      </c>
      <c r="D43" s="10" t="s">
        <v>76</v>
      </c>
      <c r="E43" s="12" t="s">
        <v>342</v>
      </c>
      <c r="F43" s="20" t="s">
        <v>692</v>
      </c>
      <c r="G43" s="20" t="s">
        <v>397</v>
      </c>
      <c r="H43" s="20">
        <v>4</v>
      </c>
      <c r="I43" s="20" t="s">
        <v>1699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1747</v>
      </c>
      <c r="D44" s="10" t="s">
        <v>68</v>
      </c>
      <c r="E44" s="12" t="s">
        <v>69</v>
      </c>
      <c r="F44" s="20" t="s">
        <v>396</v>
      </c>
      <c r="G44" s="20" t="s">
        <v>397</v>
      </c>
      <c r="H44" s="20">
        <v>4</v>
      </c>
      <c r="I44" s="20" t="s">
        <v>1699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1748</v>
      </c>
      <c r="D45" s="10" t="s">
        <v>344</v>
      </c>
      <c r="E45" s="12" t="s">
        <v>345</v>
      </c>
      <c r="F45" s="20" t="s">
        <v>432</v>
      </c>
      <c r="G45" s="20" t="s">
        <v>397</v>
      </c>
      <c r="H45" s="20">
        <v>4</v>
      </c>
      <c r="I45" s="20" t="s">
        <v>1699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1749</v>
      </c>
      <c r="D46" s="10" t="s">
        <v>1750</v>
      </c>
      <c r="E46" s="12" t="s">
        <v>71</v>
      </c>
      <c r="F46" s="20" t="s">
        <v>444</v>
      </c>
      <c r="G46" s="20" t="s">
        <v>397</v>
      </c>
      <c r="H46" s="20">
        <v>4</v>
      </c>
      <c r="I46" s="20" t="s">
        <v>1699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1751</v>
      </c>
      <c r="D47" s="10" t="s">
        <v>119</v>
      </c>
      <c r="E47" s="12" t="s">
        <v>71</v>
      </c>
      <c r="F47" s="20" t="s">
        <v>756</v>
      </c>
      <c r="G47" s="20" t="s">
        <v>397</v>
      </c>
      <c r="H47" s="20">
        <v>4</v>
      </c>
      <c r="I47" s="20" t="s">
        <v>1699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1752</v>
      </c>
      <c r="D48" s="10" t="s">
        <v>1753</v>
      </c>
      <c r="E48" s="12" t="s">
        <v>72</v>
      </c>
      <c r="F48" s="20" t="s">
        <v>420</v>
      </c>
      <c r="G48" s="20" t="s">
        <v>397</v>
      </c>
      <c r="H48" s="20">
        <v>4</v>
      </c>
      <c r="I48" s="20" t="s">
        <v>1699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1754</v>
      </c>
      <c r="D49" s="10" t="s">
        <v>218</v>
      </c>
      <c r="E49" s="12" t="s">
        <v>755</v>
      </c>
      <c r="F49" s="20" t="s">
        <v>414</v>
      </c>
      <c r="G49" s="20" t="s">
        <v>397</v>
      </c>
      <c r="H49" s="20">
        <v>4</v>
      </c>
      <c r="I49" s="20" t="s">
        <v>1699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1755</v>
      </c>
      <c r="D50" s="10" t="s">
        <v>293</v>
      </c>
      <c r="E50" s="12" t="s">
        <v>73</v>
      </c>
      <c r="F50" s="20" t="s">
        <v>396</v>
      </c>
      <c r="G50" s="20" t="s">
        <v>397</v>
      </c>
      <c r="H50" s="20">
        <v>4</v>
      </c>
      <c r="I50" s="20" t="s">
        <v>1699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1756</v>
      </c>
      <c r="D51" s="10" t="s">
        <v>175</v>
      </c>
      <c r="E51" s="12" t="s">
        <v>75</v>
      </c>
      <c r="F51" s="20" t="s">
        <v>43</v>
      </c>
      <c r="G51" s="20" t="s">
        <v>397</v>
      </c>
      <c r="H51" s="20">
        <v>4</v>
      </c>
      <c r="I51" s="20" t="s">
        <v>1699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1757</v>
      </c>
      <c r="D52" s="10" t="s">
        <v>139</v>
      </c>
      <c r="E52" s="12" t="s">
        <v>75</v>
      </c>
      <c r="F52" s="20" t="s">
        <v>414</v>
      </c>
      <c r="G52" s="20" t="s">
        <v>397</v>
      </c>
      <c r="H52" s="20">
        <v>4</v>
      </c>
      <c r="I52" s="20" t="s">
        <v>1699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1758</v>
      </c>
      <c r="D53" s="10" t="s">
        <v>139</v>
      </c>
      <c r="E53" s="12" t="s">
        <v>75</v>
      </c>
      <c r="F53" s="20" t="s">
        <v>52</v>
      </c>
      <c r="G53" s="20" t="s">
        <v>397</v>
      </c>
      <c r="H53" s="20">
        <v>4</v>
      </c>
      <c r="I53" s="20" t="s">
        <v>1699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1759</v>
      </c>
      <c r="D54" s="10" t="s">
        <v>1529</v>
      </c>
      <c r="E54" s="12" t="s">
        <v>77</v>
      </c>
      <c r="F54" s="20" t="s">
        <v>456</v>
      </c>
      <c r="G54" s="20" t="s">
        <v>397</v>
      </c>
      <c r="H54" s="20">
        <v>4</v>
      </c>
      <c r="I54" s="20" t="s">
        <v>1699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1760</v>
      </c>
      <c r="D55" s="10" t="s">
        <v>226</v>
      </c>
      <c r="E55" s="12" t="s">
        <v>147</v>
      </c>
      <c r="F55" s="20" t="s">
        <v>690</v>
      </c>
      <c r="G55" s="20" t="s">
        <v>397</v>
      </c>
      <c r="H55" s="20">
        <v>4</v>
      </c>
      <c r="I55" s="20" t="s">
        <v>1699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1761</v>
      </c>
      <c r="D56" s="10" t="s">
        <v>283</v>
      </c>
      <c r="E56" s="12" t="s">
        <v>81</v>
      </c>
      <c r="F56" s="20" t="s">
        <v>30</v>
      </c>
      <c r="G56" s="20" t="s">
        <v>397</v>
      </c>
      <c r="H56" s="20">
        <v>4</v>
      </c>
      <c r="I56" s="20" t="s">
        <v>1699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1762</v>
      </c>
      <c r="D57" s="10" t="s">
        <v>1763</v>
      </c>
      <c r="E57" s="12" t="s">
        <v>87</v>
      </c>
      <c r="F57" s="20" t="s">
        <v>40</v>
      </c>
      <c r="G57" s="20" t="s">
        <v>397</v>
      </c>
      <c r="H57" s="20">
        <v>4</v>
      </c>
      <c r="I57" s="20" t="s">
        <v>1699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1764</v>
      </c>
      <c r="D58" s="10" t="s">
        <v>55</v>
      </c>
      <c r="E58" s="12" t="s">
        <v>502</v>
      </c>
      <c r="F58" s="20" t="s">
        <v>701</v>
      </c>
      <c r="G58" s="20" t="s">
        <v>397</v>
      </c>
      <c r="H58" s="20">
        <v>4</v>
      </c>
      <c r="I58" s="20" t="s">
        <v>1699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1765</v>
      </c>
      <c r="D59" s="10" t="s">
        <v>434</v>
      </c>
      <c r="E59" s="12" t="s">
        <v>93</v>
      </c>
      <c r="F59" s="20" t="s">
        <v>40</v>
      </c>
      <c r="G59" s="20" t="s">
        <v>397</v>
      </c>
      <c r="H59" s="20">
        <v>4</v>
      </c>
      <c r="I59" s="20" t="s">
        <v>1699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1766</v>
      </c>
      <c r="D60" s="10" t="s">
        <v>1767</v>
      </c>
      <c r="E60" s="12" t="s">
        <v>95</v>
      </c>
      <c r="F60" s="20" t="s">
        <v>40</v>
      </c>
      <c r="G60" s="20" t="s">
        <v>397</v>
      </c>
      <c r="H60" s="20">
        <v>4</v>
      </c>
      <c r="I60" s="20" t="s">
        <v>1699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1768</v>
      </c>
      <c r="D61" s="10" t="s">
        <v>1769</v>
      </c>
      <c r="E61" s="12" t="s">
        <v>1770</v>
      </c>
      <c r="F61" s="20" t="s">
        <v>117</v>
      </c>
      <c r="G61" s="20" t="s">
        <v>397</v>
      </c>
      <c r="H61" s="20">
        <v>4</v>
      </c>
      <c r="I61" s="20" t="s">
        <v>1699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1771</v>
      </c>
      <c r="D62" s="10" t="s">
        <v>206</v>
      </c>
      <c r="E62" s="12" t="s">
        <v>97</v>
      </c>
      <c r="F62" s="20" t="s">
        <v>444</v>
      </c>
      <c r="G62" s="20" t="s">
        <v>397</v>
      </c>
      <c r="H62" s="20">
        <v>4</v>
      </c>
      <c r="I62" s="20" t="s">
        <v>1699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1772</v>
      </c>
      <c r="D63" s="10" t="s">
        <v>224</v>
      </c>
      <c r="E63" s="12" t="s">
        <v>97</v>
      </c>
      <c r="F63" s="20" t="s">
        <v>410</v>
      </c>
      <c r="G63" s="20" t="s">
        <v>397</v>
      </c>
      <c r="H63" s="20">
        <v>4</v>
      </c>
      <c r="I63" s="20" t="s">
        <v>1699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1773</v>
      </c>
      <c r="D64" s="10" t="s">
        <v>315</v>
      </c>
      <c r="E64" s="12" t="s">
        <v>97</v>
      </c>
      <c r="F64" s="20" t="s">
        <v>414</v>
      </c>
      <c r="G64" s="20" t="s">
        <v>397</v>
      </c>
      <c r="H64" s="20">
        <v>4</v>
      </c>
      <c r="I64" s="20" t="s">
        <v>1699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1774</v>
      </c>
      <c r="D65" s="10" t="s">
        <v>832</v>
      </c>
      <c r="E65" s="12" t="s">
        <v>97</v>
      </c>
      <c r="F65" s="20" t="s">
        <v>694</v>
      </c>
      <c r="G65" s="20" t="s">
        <v>397</v>
      </c>
      <c r="H65" s="20">
        <v>4</v>
      </c>
      <c r="I65" s="20" t="s">
        <v>1699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1775</v>
      </c>
      <c r="D66" s="10" t="s">
        <v>248</v>
      </c>
      <c r="E66" s="12" t="s">
        <v>156</v>
      </c>
      <c r="F66" s="20" t="s">
        <v>720</v>
      </c>
      <c r="G66" s="20" t="s">
        <v>397</v>
      </c>
      <c r="H66" s="20">
        <v>4</v>
      </c>
      <c r="I66" s="20" t="s">
        <v>1699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1" t="s">
        <v>1776</v>
      </c>
      <c r="D67" s="9" t="s">
        <v>1777</v>
      </c>
      <c r="E67" s="11" t="s">
        <v>156</v>
      </c>
      <c r="F67" s="19" t="s">
        <v>414</v>
      </c>
      <c r="G67" s="19" t="s">
        <v>397</v>
      </c>
      <c r="H67" s="19">
        <v>4</v>
      </c>
      <c r="I67" s="19" t="s">
        <v>1699</v>
      </c>
      <c r="J67" s="17" t="s">
        <v>13</v>
      </c>
      <c r="K67" s="17" t="s">
        <v>13</v>
      </c>
      <c r="L67" s="17" t="s">
        <v>13</v>
      </c>
      <c r="M67" s="17" t="s">
        <v>13</v>
      </c>
      <c r="N67" s="14" t="str">
        <f>+IF(OR($J67=0,$K67=0,$L67=0,$M67=0),"Không đủ ĐKDT","")</f>
        <v/>
      </c>
    </row>
    <row r="68" spans="2:14" ht="16.5" customHeight="1">
      <c r="B68" s="15">
        <v>59</v>
      </c>
      <c r="C68" s="22" t="s">
        <v>1778</v>
      </c>
      <c r="D68" s="10" t="s">
        <v>1779</v>
      </c>
      <c r="E68" s="12" t="s">
        <v>158</v>
      </c>
      <c r="F68" s="20" t="s">
        <v>720</v>
      </c>
      <c r="G68" s="20" t="s">
        <v>397</v>
      </c>
      <c r="H68" s="20">
        <v>4</v>
      </c>
      <c r="I68" s="20" t="s">
        <v>1699</v>
      </c>
      <c r="J68" s="18" t="s">
        <v>13</v>
      </c>
      <c r="K68" s="18" t="s">
        <v>13</v>
      </c>
      <c r="L68" s="18" t="s">
        <v>13</v>
      </c>
      <c r="M68" s="18" t="s">
        <v>13</v>
      </c>
      <c r="N68" s="16" t="str">
        <f>+IF(OR($J68=0,$K68=0,$L68=0,$M68=0),"Không đủ ĐKDT","")</f>
        <v/>
      </c>
    </row>
    <row r="69" spans="2:14" ht="16.5" customHeight="1">
      <c r="B69" s="15">
        <v>60</v>
      </c>
      <c r="C69" s="22" t="s">
        <v>1780</v>
      </c>
      <c r="D69" s="10" t="s">
        <v>1781</v>
      </c>
      <c r="E69" s="12" t="s">
        <v>158</v>
      </c>
      <c r="F69" s="20" t="s">
        <v>410</v>
      </c>
      <c r="G69" s="20" t="s">
        <v>397</v>
      </c>
      <c r="H69" s="20">
        <v>4</v>
      </c>
      <c r="I69" s="20" t="s">
        <v>1699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 t="shared" ref="N69:N94" si="2">+IF(OR($J69=0,$K69=0,$L69=0,$M69=0),"Không đủ ĐKDT","")</f>
        <v/>
      </c>
    </row>
    <row r="70" spans="2:14" ht="16.5" customHeight="1">
      <c r="B70" s="15">
        <v>61</v>
      </c>
      <c r="C70" s="22" t="s">
        <v>1782</v>
      </c>
      <c r="D70" s="10" t="s">
        <v>1783</v>
      </c>
      <c r="E70" s="12" t="s">
        <v>108</v>
      </c>
      <c r="F70" s="20" t="s">
        <v>675</v>
      </c>
      <c r="G70" s="20" t="s">
        <v>397</v>
      </c>
      <c r="H70" s="20">
        <v>4</v>
      </c>
      <c r="I70" s="20" t="s">
        <v>1699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si="2"/>
        <v/>
      </c>
    </row>
    <row r="71" spans="2:14" ht="16.5" customHeight="1">
      <c r="B71" s="15">
        <v>62</v>
      </c>
      <c r="C71" s="22" t="s">
        <v>1784</v>
      </c>
      <c r="D71" s="10" t="s">
        <v>1785</v>
      </c>
      <c r="E71" s="12" t="s">
        <v>521</v>
      </c>
      <c r="F71" s="20" t="s">
        <v>720</v>
      </c>
      <c r="G71" s="20" t="s">
        <v>397</v>
      </c>
      <c r="H71" s="20">
        <v>4</v>
      </c>
      <c r="I71" s="20" t="s">
        <v>1699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1786</v>
      </c>
      <c r="D72" s="10" t="s">
        <v>1787</v>
      </c>
      <c r="E72" s="12" t="s">
        <v>161</v>
      </c>
      <c r="F72" s="20" t="s">
        <v>396</v>
      </c>
      <c r="G72" s="20" t="s">
        <v>397</v>
      </c>
      <c r="H72" s="20">
        <v>4</v>
      </c>
      <c r="I72" s="20" t="s">
        <v>1699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1788</v>
      </c>
      <c r="D73" s="10" t="s">
        <v>1789</v>
      </c>
      <c r="E73" s="12" t="s">
        <v>161</v>
      </c>
      <c r="F73" s="20" t="s">
        <v>456</v>
      </c>
      <c r="G73" s="20" t="s">
        <v>397</v>
      </c>
      <c r="H73" s="20">
        <v>4</v>
      </c>
      <c r="I73" s="20" t="s">
        <v>1699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1790</v>
      </c>
      <c r="D74" s="10" t="s">
        <v>198</v>
      </c>
      <c r="E74" s="12" t="s">
        <v>162</v>
      </c>
      <c r="F74" s="20" t="s">
        <v>456</v>
      </c>
      <c r="G74" s="20" t="s">
        <v>397</v>
      </c>
      <c r="H74" s="20">
        <v>4</v>
      </c>
      <c r="I74" s="20" t="s">
        <v>1699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1791</v>
      </c>
      <c r="D75" s="10" t="s">
        <v>1792</v>
      </c>
      <c r="E75" s="12" t="s">
        <v>925</v>
      </c>
      <c r="F75" s="20" t="s">
        <v>687</v>
      </c>
      <c r="G75" s="20" t="s">
        <v>397</v>
      </c>
      <c r="H75" s="20">
        <v>4</v>
      </c>
      <c r="I75" s="20" t="s">
        <v>1699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1793</v>
      </c>
      <c r="D76" s="10" t="s">
        <v>1794</v>
      </c>
      <c r="E76" s="12" t="s">
        <v>925</v>
      </c>
      <c r="F76" s="20" t="s">
        <v>696</v>
      </c>
      <c r="G76" s="20" t="s">
        <v>397</v>
      </c>
      <c r="H76" s="20">
        <v>4</v>
      </c>
      <c r="I76" s="20" t="s">
        <v>1699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1795</v>
      </c>
      <c r="D77" s="10" t="s">
        <v>956</v>
      </c>
      <c r="E77" s="12" t="s">
        <v>1796</v>
      </c>
      <c r="F77" s="20" t="s">
        <v>82</v>
      </c>
      <c r="G77" s="20" t="s">
        <v>397</v>
      </c>
      <c r="H77" s="20">
        <v>4</v>
      </c>
      <c r="I77" s="20" t="s">
        <v>1699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1797</v>
      </c>
      <c r="D78" s="10" t="s">
        <v>1798</v>
      </c>
      <c r="E78" s="12" t="s">
        <v>263</v>
      </c>
      <c r="F78" s="20" t="s">
        <v>414</v>
      </c>
      <c r="G78" s="20" t="s">
        <v>397</v>
      </c>
      <c r="H78" s="20">
        <v>4</v>
      </c>
      <c r="I78" s="20" t="s">
        <v>1699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1799</v>
      </c>
      <c r="D79" s="10" t="s">
        <v>68</v>
      </c>
      <c r="E79" s="12" t="s">
        <v>120</v>
      </c>
      <c r="F79" s="20" t="s">
        <v>701</v>
      </c>
      <c r="G79" s="20" t="s">
        <v>397</v>
      </c>
      <c r="H79" s="20">
        <v>4</v>
      </c>
      <c r="I79" s="20" t="s">
        <v>1699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1800</v>
      </c>
      <c r="D80" s="10" t="s">
        <v>139</v>
      </c>
      <c r="E80" s="12" t="s">
        <v>166</v>
      </c>
      <c r="F80" s="20" t="s">
        <v>40</v>
      </c>
      <c r="G80" s="20" t="s">
        <v>397</v>
      </c>
      <c r="H80" s="20">
        <v>4</v>
      </c>
      <c r="I80" s="20" t="s">
        <v>1699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1801</v>
      </c>
      <c r="D81" s="10" t="s">
        <v>68</v>
      </c>
      <c r="E81" s="12" t="s">
        <v>166</v>
      </c>
      <c r="F81" s="20" t="s">
        <v>696</v>
      </c>
      <c r="G81" s="20" t="s">
        <v>397</v>
      </c>
      <c r="H81" s="20">
        <v>4</v>
      </c>
      <c r="I81" s="20" t="s">
        <v>1699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1802</v>
      </c>
      <c r="D82" s="10" t="s">
        <v>169</v>
      </c>
      <c r="E82" s="12" t="s">
        <v>122</v>
      </c>
      <c r="F82" s="20" t="s">
        <v>456</v>
      </c>
      <c r="G82" s="20" t="s">
        <v>397</v>
      </c>
      <c r="H82" s="20">
        <v>4</v>
      </c>
      <c r="I82" s="20" t="s">
        <v>1699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1803</v>
      </c>
      <c r="D83" s="10" t="s">
        <v>1804</v>
      </c>
      <c r="E83" s="12" t="s">
        <v>125</v>
      </c>
      <c r="F83" s="20" t="s">
        <v>696</v>
      </c>
      <c r="G83" s="20" t="s">
        <v>397</v>
      </c>
      <c r="H83" s="20">
        <v>4</v>
      </c>
      <c r="I83" s="20" t="s">
        <v>1699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126</v>
      </c>
      <c r="D84" s="10" t="s">
        <v>127</v>
      </c>
      <c r="E84" s="12" t="s">
        <v>128</v>
      </c>
      <c r="F84" s="20" t="s">
        <v>43</v>
      </c>
      <c r="G84" s="20" t="s">
        <v>397</v>
      </c>
      <c r="H84" s="20">
        <v>4</v>
      </c>
      <c r="I84" s="20" t="s">
        <v>1699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1805</v>
      </c>
      <c r="D85" s="10" t="s">
        <v>32</v>
      </c>
      <c r="E85" s="12" t="s">
        <v>128</v>
      </c>
      <c r="F85" s="20" t="s">
        <v>468</v>
      </c>
      <c r="G85" s="20" t="s">
        <v>397</v>
      </c>
      <c r="H85" s="20">
        <v>4</v>
      </c>
      <c r="I85" s="20" t="s">
        <v>1699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1806</v>
      </c>
      <c r="D86" s="10" t="s">
        <v>1807</v>
      </c>
      <c r="E86" s="12" t="s">
        <v>128</v>
      </c>
      <c r="F86" s="20" t="s">
        <v>117</v>
      </c>
      <c r="G86" s="20" t="s">
        <v>397</v>
      </c>
      <c r="H86" s="20">
        <v>4</v>
      </c>
      <c r="I86" s="20" t="s">
        <v>1699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1808</v>
      </c>
      <c r="D87" s="10" t="s">
        <v>705</v>
      </c>
      <c r="E87" s="12" t="s">
        <v>203</v>
      </c>
      <c r="F87" s="20" t="s">
        <v>38</v>
      </c>
      <c r="G87" s="20" t="s">
        <v>397</v>
      </c>
      <c r="H87" s="20">
        <v>4</v>
      </c>
      <c r="I87" s="20" t="s">
        <v>1699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1809</v>
      </c>
      <c r="D88" s="10" t="s">
        <v>1810</v>
      </c>
      <c r="E88" s="12" t="s">
        <v>1811</v>
      </c>
      <c r="F88" s="20" t="s">
        <v>412</v>
      </c>
      <c r="G88" s="20" t="s">
        <v>397</v>
      </c>
      <c r="H88" s="20">
        <v>4</v>
      </c>
      <c r="I88" s="20" t="s">
        <v>1699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1812</v>
      </c>
      <c r="D89" s="10" t="s">
        <v>1291</v>
      </c>
      <c r="E89" s="12" t="s">
        <v>1813</v>
      </c>
      <c r="F89" s="20" t="s">
        <v>690</v>
      </c>
      <c r="G89" s="20" t="s">
        <v>397</v>
      </c>
      <c r="H89" s="20">
        <v>4</v>
      </c>
      <c r="I89" s="20" t="s">
        <v>1699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1814</v>
      </c>
      <c r="D90" s="10" t="s">
        <v>154</v>
      </c>
      <c r="E90" s="12" t="s">
        <v>171</v>
      </c>
      <c r="F90" s="20" t="s">
        <v>694</v>
      </c>
      <c r="G90" s="20" t="s">
        <v>397</v>
      </c>
      <c r="H90" s="20">
        <v>4</v>
      </c>
      <c r="I90" s="20" t="s">
        <v>1699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1815</v>
      </c>
      <c r="D91" s="10" t="s">
        <v>1816</v>
      </c>
      <c r="E91" s="12" t="s">
        <v>171</v>
      </c>
      <c r="F91" s="20" t="s">
        <v>675</v>
      </c>
      <c r="G91" s="20" t="s">
        <v>397</v>
      </c>
      <c r="H91" s="20">
        <v>4</v>
      </c>
      <c r="I91" s="20" t="s">
        <v>1699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1817</v>
      </c>
      <c r="D92" s="10" t="s">
        <v>174</v>
      </c>
      <c r="E92" s="12" t="s">
        <v>171</v>
      </c>
      <c r="F92" s="20" t="s">
        <v>40</v>
      </c>
      <c r="G92" s="20" t="s">
        <v>397</v>
      </c>
      <c r="H92" s="20">
        <v>4</v>
      </c>
      <c r="I92" s="20" t="s">
        <v>1699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1818</v>
      </c>
      <c r="D93" s="10" t="s">
        <v>76</v>
      </c>
      <c r="E93" s="12" t="s">
        <v>171</v>
      </c>
      <c r="F93" s="20" t="s">
        <v>456</v>
      </c>
      <c r="G93" s="20" t="s">
        <v>397</v>
      </c>
      <c r="H93" s="20">
        <v>4</v>
      </c>
      <c r="I93" s="20" t="s">
        <v>1699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1819</v>
      </c>
      <c r="D94" s="10" t="s">
        <v>137</v>
      </c>
      <c r="E94" s="12" t="s">
        <v>173</v>
      </c>
      <c r="F94" s="20" t="s">
        <v>38</v>
      </c>
      <c r="G94" s="20" t="s">
        <v>397</v>
      </c>
      <c r="H94" s="20">
        <v>4</v>
      </c>
      <c r="I94" s="20" t="s">
        <v>1699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9.5" customHeight="1">
      <c r="B95" s="64" t="s">
        <v>20</v>
      </c>
      <c r="C95" s="64"/>
      <c r="D95" s="64"/>
      <c r="E95" s="64"/>
    </row>
    <row r="96" spans="2:14" ht="19.5" customHeight="1">
      <c r="B96" s="55" t="str">
        <f>"Điểm chuyên cần: " &amp; $J$9 &amp; "% "</f>
        <v xml:space="preserve">Điểm chuyên cần: % </v>
      </c>
      <c r="C96" s="55"/>
      <c r="D96" s="55"/>
      <c r="E96" s="55"/>
    </row>
    <row r="97" spans="2:14" ht="19.5" customHeight="1">
      <c r="B97" s="55" t="str">
        <f>"Điểm trung bình kiểm tra: "&amp;$K$9&amp;"%"</f>
        <v>Điểm trung bình kiểm tra: %</v>
      </c>
      <c r="C97" s="55"/>
      <c r="D97" s="55"/>
      <c r="E97" s="55"/>
    </row>
    <row r="98" spans="2:14" ht="19.5" customHeight="1">
      <c r="B98" s="55" t="str">
        <f>"Điểm thí nghiệm, thực hành: "&amp;$L$9&amp;"%"</f>
        <v>Điểm thí nghiệm, thực hành: %</v>
      </c>
      <c r="C98" s="55"/>
      <c r="D98" s="55"/>
      <c r="E98" s="55"/>
    </row>
    <row r="99" spans="2:14" ht="19.5" customHeight="1">
      <c r="B99" s="55" t="str">
        <f>"Điểm bài tập tiểu luận, seminar: "&amp;$M$9&amp;"%"</f>
        <v>Điểm bài tập tiểu luận, seminar: %</v>
      </c>
      <c r="C99" s="55"/>
      <c r="D99" s="55"/>
      <c r="E99" s="55"/>
    </row>
    <row r="100" spans="2:14">
      <c r="J100" s="56" t="s">
        <v>21</v>
      </c>
      <c r="K100" s="56"/>
      <c r="L100" s="56"/>
      <c r="M100" s="56"/>
      <c r="N100" s="56"/>
    </row>
    <row r="101" spans="2:14" ht="32.25" customHeight="1">
      <c r="B101" s="57" t="s">
        <v>17</v>
      </c>
      <c r="C101" s="57"/>
      <c r="D101" s="57"/>
      <c r="E101" s="57"/>
      <c r="F101" s="28"/>
      <c r="G101" s="28"/>
      <c r="H101" s="28"/>
      <c r="I101" s="28"/>
      <c r="J101" s="57" t="s">
        <v>18</v>
      </c>
      <c r="K101" s="57"/>
      <c r="L101" s="57"/>
      <c r="M101" s="57"/>
      <c r="N101" s="57"/>
    </row>
    <row r="107" spans="2:14">
      <c r="J107" s="58"/>
      <c r="K107" s="58"/>
      <c r="L107" s="58"/>
      <c r="M107" s="58"/>
      <c r="N107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8:E98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5:E95"/>
    <mergeCell ref="B96:E96"/>
    <mergeCell ref="B97:E97"/>
    <mergeCell ref="L7:L8"/>
    <mergeCell ref="M7:M8"/>
    <mergeCell ref="B99:E99"/>
    <mergeCell ref="J100:N100"/>
    <mergeCell ref="B101:E101"/>
    <mergeCell ref="J101:N101"/>
    <mergeCell ref="J107:N107"/>
  </mergeCells>
  <conditionalFormatting sqref="J10:M10">
    <cfRule type="cellIs" dxfId="417" priority="55" stopIfTrue="1" operator="greaterThan">
      <formula>10</formula>
    </cfRule>
    <cfRule type="cellIs" dxfId="416" priority="56" stopIfTrue="1" operator="greaterThan">
      <formula>10</formula>
    </cfRule>
    <cfRule type="cellIs" dxfId="415" priority="57" stopIfTrue="1" operator="greaterThan">
      <formula>10</formula>
    </cfRule>
    <cfRule type="cellIs" dxfId="414" priority="58" stopIfTrue="1" operator="greaterThan">
      <formula>10</formula>
    </cfRule>
  </conditionalFormatting>
  <conditionalFormatting sqref="J11:M13">
    <cfRule type="cellIs" dxfId="413" priority="51" stopIfTrue="1" operator="greaterThan">
      <formula>10</formula>
    </cfRule>
    <cfRule type="cellIs" dxfId="412" priority="52" stopIfTrue="1" operator="greaterThan">
      <formula>10</formula>
    </cfRule>
    <cfRule type="cellIs" dxfId="411" priority="53" stopIfTrue="1" operator="greaterThan">
      <formula>10</formula>
    </cfRule>
    <cfRule type="cellIs" dxfId="410" priority="54" stopIfTrue="1" operator="greaterThan">
      <formula>10</formula>
    </cfRule>
  </conditionalFormatting>
  <conditionalFormatting sqref="J14:M15 J23:M38">
    <cfRule type="cellIs" dxfId="409" priority="47" stopIfTrue="1" operator="greaterThan">
      <formula>10</formula>
    </cfRule>
    <cfRule type="cellIs" dxfId="408" priority="48" stopIfTrue="1" operator="greaterThan">
      <formula>10</formula>
    </cfRule>
    <cfRule type="cellIs" dxfId="407" priority="49" stopIfTrue="1" operator="greaterThan">
      <formula>10</formula>
    </cfRule>
    <cfRule type="cellIs" dxfId="406" priority="50" stopIfTrue="1" operator="greaterThan">
      <formula>10</formula>
    </cfRule>
  </conditionalFormatting>
  <conditionalFormatting sqref="J16:M22">
    <cfRule type="cellIs" dxfId="405" priority="41" stopIfTrue="1" operator="greaterThan">
      <formula>10</formula>
    </cfRule>
    <cfRule type="cellIs" dxfId="404" priority="42" stopIfTrue="1" operator="greaterThan">
      <formula>10</formula>
    </cfRule>
    <cfRule type="cellIs" dxfId="403" priority="43" stopIfTrue="1" operator="greaterThan">
      <formula>10</formula>
    </cfRule>
    <cfRule type="cellIs" dxfId="402" priority="44" stopIfTrue="1" operator="greaterThan">
      <formula>10</formula>
    </cfRule>
  </conditionalFormatting>
  <conditionalFormatting sqref="C16:C22">
    <cfRule type="duplicateValues" dxfId="401" priority="45" stopIfTrue="1"/>
    <cfRule type="duplicateValues" dxfId="400" priority="46" stopIfTrue="1"/>
  </conditionalFormatting>
  <conditionalFormatting sqref="C10:C15 C23:C38">
    <cfRule type="duplicateValues" dxfId="399" priority="239" stopIfTrue="1"/>
    <cfRule type="duplicateValues" dxfId="398" priority="240" stopIfTrue="1"/>
  </conditionalFormatting>
  <conditionalFormatting sqref="J39:M39">
    <cfRule type="cellIs" dxfId="397" priority="35" stopIfTrue="1" operator="greaterThan">
      <formula>10</formula>
    </cfRule>
    <cfRule type="cellIs" dxfId="396" priority="36" stopIfTrue="1" operator="greaterThan">
      <formula>10</formula>
    </cfRule>
    <cfRule type="cellIs" dxfId="395" priority="37" stopIfTrue="1" operator="greaterThan">
      <formula>10</formula>
    </cfRule>
    <cfRule type="cellIs" dxfId="394" priority="38" stopIfTrue="1" operator="greaterThan">
      <formula>10</formula>
    </cfRule>
  </conditionalFormatting>
  <conditionalFormatting sqref="J40:M42">
    <cfRule type="cellIs" dxfId="393" priority="31" stopIfTrue="1" operator="greaterThan">
      <formula>10</formula>
    </cfRule>
    <cfRule type="cellIs" dxfId="392" priority="32" stopIfTrue="1" operator="greaterThan">
      <formula>10</formula>
    </cfRule>
    <cfRule type="cellIs" dxfId="391" priority="33" stopIfTrue="1" operator="greaterThan">
      <formula>10</formula>
    </cfRule>
    <cfRule type="cellIs" dxfId="390" priority="34" stopIfTrue="1" operator="greaterThan">
      <formula>10</formula>
    </cfRule>
  </conditionalFormatting>
  <conditionalFormatting sqref="J43:M44 J52:M66">
    <cfRule type="cellIs" dxfId="389" priority="27" stopIfTrue="1" operator="greaterThan">
      <formula>10</formula>
    </cfRule>
    <cfRule type="cellIs" dxfId="388" priority="28" stopIfTrue="1" operator="greaterThan">
      <formula>10</formula>
    </cfRule>
    <cfRule type="cellIs" dxfId="387" priority="29" stopIfTrue="1" operator="greaterThan">
      <formula>10</formula>
    </cfRule>
    <cfRule type="cellIs" dxfId="386" priority="30" stopIfTrue="1" operator="greaterThan">
      <formula>10</formula>
    </cfRule>
  </conditionalFormatting>
  <conditionalFormatting sqref="J45:M51">
    <cfRule type="cellIs" dxfId="385" priority="21" stopIfTrue="1" operator="greaterThan">
      <formula>10</formula>
    </cfRule>
    <cfRule type="cellIs" dxfId="384" priority="22" stopIfTrue="1" operator="greaterThan">
      <formula>10</formula>
    </cfRule>
    <cfRule type="cellIs" dxfId="383" priority="23" stopIfTrue="1" operator="greaterThan">
      <formula>10</formula>
    </cfRule>
    <cfRule type="cellIs" dxfId="382" priority="24" stopIfTrue="1" operator="greaterThan">
      <formula>10</formula>
    </cfRule>
  </conditionalFormatting>
  <conditionalFormatting sqref="C45:C51">
    <cfRule type="duplicateValues" dxfId="381" priority="25" stopIfTrue="1"/>
    <cfRule type="duplicateValues" dxfId="380" priority="26" stopIfTrue="1"/>
  </conditionalFormatting>
  <conditionalFormatting sqref="C39:C44 C52:C66">
    <cfRule type="duplicateValues" dxfId="379" priority="39" stopIfTrue="1"/>
    <cfRule type="duplicateValues" dxfId="378" priority="40" stopIfTrue="1"/>
  </conditionalFormatting>
  <conditionalFormatting sqref="J67:M67">
    <cfRule type="cellIs" dxfId="377" priority="15" stopIfTrue="1" operator="greaterThan">
      <formula>10</formula>
    </cfRule>
    <cfRule type="cellIs" dxfId="376" priority="16" stopIfTrue="1" operator="greaterThan">
      <formula>10</formula>
    </cfRule>
    <cfRule type="cellIs" dxfId="375" priority="17" stopIfTrue="1" operator="greaterThan">
      <formula>10</formula>
    </cfRule>
    <cfRule type="cellIs" dxfId="374" priority="18" stopIfTrue="1" operator="greaterThan">
      <formula>10</formula>
    </cfRule>
  </conditionalFormatting>
  <conditionalFormatting sqref="J68:M70">
    <cfRule type="cellIs" dxfId="373" priority="11" stopIfTrue="1" operator="greaterThan">
      <formula>10</formula>
    </cfRule>
    <cfRule type="cellIs" dxfId="372" priority="12" stopIfTrue="1" operator="greaterThan">
      <formula>10</formula>
    </cfRule>
    <cfRule type="cellIs" dxfId="371" priority="13" stopIfTrue="1" operator="greaterThan">
      <formula>10</formula>
    </cfRule>
    <cfRule type="cellIs" dxfId="370" priority="14" stopIfTrue="1" operator="greaterThan">
      <formula>10</formula>
    </cfRule>
  </conditionalFormatting>
  <conditionalFormatting sqref="J71:M72 J80:M94">
    <cfRule type="cellIs" dxfId="369" priority="7" stopIfTrue="1" operator="greaterThan">
      <formula>10</formula>
    </cfRule>
    <cfRule type="cellIs" dxfId="368" priority="8" stopIfTrue="1" operator="greaterThan">
      <formula>10</formula>
    </cfRule>
    <cfRule type="cellIs" dxfId="367" priority="9" stopIfTrue="1" operator="greaterThan">
      <formula>10</formula>
    </cfRule>
    <cfRule type="cellIs" dxfId="366" priority="10" stopIfTrue="1" operator="greaterThan">
      <formula>10</formula>
    </cfRule>
  </conditionalFormatting>
  <conditionalFormatting sqref="J73:M79">
    <cfRule type="cellIs" dxfId="365" priority="1" stopIfTrue="1" operator="greaterThan">
      <formula>10</formula>
    </cfRule>
    <cfRule type="cellIs" dxfId="364" priority="2" stopIfTrue="1" operator="greaterThan">
      <formula>10</formula>
    </cfRule>
    <cfRule type="cellIs" dxfId="363" priority="3" stopIfTrue="1" operator="greaterThan">
      <formula>10</formula>
    </cfRule>
    <cfRule type="cellIs" dxfId="362" priority="4" stopIfTrue="1" operator="greaterThan">
      <formula>10</formula>
    </cfRule>
  </conditionalFormatting>
  <conditionalFormatting sqref="C73:C79">
    <cfRule type="duplicateValues" dxfId="361" priority="5" stopIfTrue="1"/>
    <cfRule type="duplicateValues" dxfId="360" priority="6" stopIfTrue="1"/>
  </conditionalFormatting>
  <conditionalFormatting sqref="C67:C72 C80:C94">
    <cfRule type="duplicateValues" dxfId="359" priority="19" stopIfTrue="1"/>
    <cfRule type="duplicateValues" dxfId="358" priority="20" stopIfTrue="1"/>
  </conditionalFormatting>
  <dataValidations count="1">
    <dataValidation type="decimal" allowBlank="1" showInputMessage="1" showErrorMessage="1" error="Sai định dạng" sqref="J10:M94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B1:N105"/>
  <sheetViews>
    <sheetView topLeftCell="A82" workbookViewId="0">
      <selection activeCell="B32" sqref="B32:B92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BAS1224_05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1575</v>
      </c>
      <c r="D10" s="9" t="s">
        <v>878</v>
      </c>
      <c r="E10" s="11" t="s">
        <v>26</v>
      </c>
      <c r="F10" s="19" t="s">
        <v>701</v>
      </c>
      <c r="G10" s="19" t="s">
        <v>397</v>
      </c>
      <c r="H10" s="19">
        <v>4</v>
      </c>
      <c r="I10" s="19" t="s">
        <v>1576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1577</v>
      </c>
      <c r="D11" s="10" t="s">
        <v>1578</v>
      </c>
      <c r="E11" s="12" t="s">
        <v>27</v>
      </c>
      <c r="F11" s="20" t="s">
        <v>720</v>
      </c>
      <c r="G11" s="20" t="s">
        <v>397</v>
      </c>
      <c r="H11" s="20">
        <v>4</v>
      </c>
      <c r="I11" s="20" t="s">
        <v>1576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1579</v>
      </c>
      <c r="D12" s="10" t="s">
        <v>174</v>
      </c>
      <c r="E12" s="12" t="s">
        <v>27</v>
      </c>
      <c r="F12" s="20" t="s">
        <v>450</v>
      </c>
      <c r="G12" s="20" t="s">
        <v>397</v>
      </c>
      <c r="H12" s="20">
        <v>4</v>
      </c>
      <c r="I12" s="20" t="s">
        <v>1576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7" si="0">+IF(OR($J12=0,$K12=0,$L12=0,$M12=0),"Không đủ ĐKDT","")</f>
        <v/>
      </c>
    </row>
    <row r="13" spans="2:14" ht="16.5" customHeight="1">
      <c r="B13" s="15">
        <v>4</v>
      </c>
      <c r="C13" s="22" t="s">
        <v>1580</v>
      </c>
      <c r="D13" s="10" t="s">
        <v>174</v>
      </c>
      <c r="E13" s="12" t="s">
        <v>27</v>
      </c>
      <c r="F13" s="20" t="s">
        <v>694</v>
      </c>
      <c r="G13" s="20" t="s">
        <v>397</v>
      </c>
      <c r="H13" s="20">
        <v>4</v>
      </c>
      <c r="I13" s="20" t="s">
        <v>1576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1581</v>
      </c>
      <c r="D14" s="10" t="s">
        <v>1582</v>
      </c>
      <c r="E14" s="12" t="s">
        <v>27</v>
      </c>
      <c r="F14" s="20" t="s">
        <v>456</v>
      </c>
      <c r="G14" s="20" t="s">
        <v>397</v>
      </c>
      <c r="H14" s="20">
        <v>4</v>
      </c>
      <c r="I14" s="20" t="s">
        <v>1576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1583</v>
      </c>
      <c r="D15" s="10" t="s">
        <v>1584</v>
      </c>
      <c r="E15" s="12" t="s">
        <v>27</v>
      </c>
      <c r="F15" s="20" t="s">
        <v>40</v>
      </c>
      <c r="G15" s="20" t="s">
        <v>397</v>
      </c>
      <c r="H15" s="20">
        <v>4</v>
      </c>
      <c r="I15" s="20" t="s">
        <v>1576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1585</v>
      </c>
      <c r="D16" s="10" t="s">
        <v>287</v>
      </c>
      <c r="E16" s="12" t="s">
        <v>27</v>
      </c>
      <c r="F16" s="20" t="s">
        <v>687</v>
      </c>
      <c r="G16" s="20" t="s">
        <v>397</v>
      </c>
      <c r="H16" s="20">
        <v>4</v>
      </c>
      <c r="I16" s="20" t="s">
        <v>1576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1586</v>
      </c>
      <c r="D17" s="10" t="s">
        <v>264</v>
      </c>
      <c r="E17" s="12" t="s">
        <v>27</v>
      </c>
      <c r="F17" s="20" t="s">
        <v>117</v>
      </c>
      <c r="G17" s="20" t="s">
        <v>397</v>
      </c>
      <c r="H17" s="20">
        <v>4</v>
      </c>
      <c r="I17" s="20" t="s">
        <v>1576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1587</v>
      </c>
      <c r="D18" s="10" t="s">
        <v>57</v>
      </c>
      <c r="E18" s="12" t="s">
        <v>176</v>
      </c>
      <c r="F18" s="20" t="s">
        <v>82</v>
      </c>
      <c r="G18" s="20" t="s">
        <v>397</v>
      </c>
      <c r="H18" s="20">
        <v>4</v>
      </c>
      <c r="I18" s="20" t="s">
        <v>1576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1588</v>
      </c>
      <c r="D19" s="10" t="s">
        <v>1589</v>
      </c>
      <c r="E19" s="12" t="s">
        <v>1590</v>
      </c>
      <c r="F19" s="20" t="s">
        <v>683</v>
      </c>
      <c r="G19" s="20" t="s">
        <v>397</v>
      </c>
      <c r="H19" s="20">
        <v>4</v>
      </c>
      <c r="I19" s="20" t="s">
        <v>1576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1591</v>
      </c>
      <c r="D20" s="10" t="s">
        <v>1592</v>
      </c>
      <c r="E20" s="12" t="s">
        <v>178</v>
      </c>
      <c r="F20" s="20" t="s">
        <v>694</v>
      </c>
      <c r="G20" s="20" t="s">
        <v>397</v>
      </c>
      <c r="H20" s="20">
        <v>4</v>
      </c>
      <c r="I20" s="20" t="s">
        <v>1576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1593</v>
      </c>
      <c r="D21" s="10" t="s">
        <v>133</v>
      </c>
      <c r="E21" s="12" t="s">
        <v>422</v>
      </c>
      <c r="F21" s="20" t="s">
        <v>82</v>
      </c>
      <c r="G21" s="20" t="s">
        <v>397</v>
      </c>
      <c r="H21" s="20">
        <v>4</v>
      </c>
      <c r="I21" s="20" t="s">
        <v>1576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1594</v>
      </c>
      <c r="D22" s="10" t="s">
        <v>94</v>
      </c>
      <c r="E22" s="12" t="s">
        <v>180</v>
      </c>
      <c r="F22" s="20" t="s">
        <v>701</v>
      </c>
      <c r="G22" s="20" t="s">
        <v>397</v>
      </c>
      <c r="H22" s="20">
        <v>4</v>
      </c>
      <c r="I22" s="20" t="s">
        <v>1576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1595</v>
      </c>
      <c r="D23" s="10" t="s">
        <v>177</v>
      </c>
      <c r="E23" s="12" t="s">
        <v>180</v>
      </c>
      <c r="F23" s="20" t="s">
        <v>396</v>
      </c>
      <c r="G23" s="20" t="s">
        <v>397</v>
      </c>
      <c r="H23" s="20">
        <v>4</v>
      </c>
      <c r="I23" s="20" t="s">
        <v>1576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1596</v>
      </c>
      <c r="D24" s="10" t="s">
        <v>1597</v>
      </c>
      <c r="E24" s="12" t="s">
        <v>1598</v>
      </c>
      <c r="F24" s="20" t="s">
        <v>432</v>
      </c>
      <c r="G24" s="20" t="s">
        <v>397</v>
      </c>
      <c r="H24" s="20">
        <v>4</v>
      </c>
      <c r="I24" s="20" t="s">
        <v>1576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1599</v>
      </c>
      <c r="D25" s="10" t="s">
        <v>1600</v>
      </c>
      <c r="E25" s="12" t="s">
        <v>36</v>
      </c>
      <c r="F25" s="20" t="s">
        <v>396</v>
      </c>
      <c r="G25" s="20" t="s">
        <v>397</v>
      </c>
      <c r="H25" s="20">
        <v>4</v>
      </c>
      <c r="I25" s="20" t="s">
        <v>1576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1601</v>
      </c>
      <c r="D26" s="10" t="s">
        <v>1377</v>
      </c>
      <c r="E26" s="12" t="s">
        <v>36</v>
      </c>
      <c r="F26" s="20" t="s">
        <v>756</v>
      </c>
      <c r="G26" s="20" t="s">
        <v>397</v>
      </c>
      <c r="H26" s="20">
        <v>4</v>
      </c>
      <c r="I26" s="20" t="s">
        <v>1576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1602</v>
      </c>
      <c r="D27" s="10" t="s">
        <v>1603</v>
      </c>
      <c r="E27" s="12" t="s">
        <v>136</v>
      </c>
      <c r="F27" s="20" t="s">
        <v>701</v>
      </c>
      <c r="G27" s="20" t="s">
        <v>397</v>
      </c>
      <c r="H27" s="20">
        <v>4</v>
      </c>
      <c r="I27" s="20" t="s">
        <v>1576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1604</v>
      </c>
      <c r="D28" s="10" t="s">
        <v>1605</v>
      </c>
      <c r="E28" s="12" t="s">
        <v>136</v>
      </c>
      <c r="F28" s="20" t="s">
        <v>410</v>
      </c>
      <c r="G28" s="20" t="s">
        <v>397</v>
      </c>
      <c r="H28" s="20">
        <v>4</v>
      </c>
      <c r="I28" s="20" t="s">
        <v>1576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1606</v>
      </c>
      <c r="D29" s="10" t="s">
        <v>1112</v>
      </c>
      <c r="E29" s="12" t="s">
        <v>306</v>
      </c>
      <c r="F29" s="20" t="s">
        <v>1607</v>
      </c>
      <c r="G29" s="20" t="s">
        <v>397</v>
      </c>
      <c r="H29" s="20">
        <v>4</v>
      </c>
      <c r="I29" s="20" t="s">
        <v>1576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1608</v>
      </c>
      <c r="D30" s="10" t="s">
        <v>1609</v>
      </c>
      <c r="E30" s="12" t="s">
        <v>39</v>
      </c>
      <c r="F30" s="20" t="s">
        <v>756</v>
      </c>
      <c r="G30" s="20" t="s">
        <v>397</v>
      </c>
      <c r="H30" s="20">
        <v>4</v>
      </c>
      <c r="I30" s="20" t="s">
        <v>1576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1610</v>
      </c>
      <c r="D31" s="10" t="s">
        <v>198</v>
      </c>
      <c r="E31" s="12" t="s">
        <v>39</v>
      </c>
      <c r="F31" s="20" t="s">
        <v>701</v>
      </c>
      <c r="G31" s="20" t="s">
        <v>397</v>
      </c>
      <c r="H31" s="20">
        <v>4</v>
      </c>
      <c r="I31" s="20" t="s">
        <v>1576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1611</v>
      </c>
      <c r="D32" s="10" t="s">
        <v>1612</v>
      </c>
      <c r="E32" s="12" t="s">
        <v>39</v>
      </c>
      <c r="F32" s="20" t="s">
        <v>692</v>
      </c>
      <c r="G32" s="20" t="s">
        <v>397</v>
      </c>
      <c r="H32" s="20">
        <v>4</v>
      </c>
      <c r="I32" s="20" t="s">
        <v>1576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1613</v>
      </c>
      <c r="D33" s="10" t="s">
        <v>237</v>
      </c>
      <c r="E33" s="12" t="s">
        <v>39</v>
      </c>
      <c r="F33" s="20" t="s">
        <v>420</v>
      </c>
      <c r="G33" s="20" t="s">
        <v>397</v>
      </c>
      <c r="H33" s="20">
        <v>4</v>
      </c>
      <c r="I33" s="20" t="s">
        <v>1576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1614</v>
      </c>
      <c r="D34" s="10" t="s">
        <v>211</v>
      </c>
      <c r="E34" s="12" t="s">
        <v>39</v>
      </c>
      <c r="F34" s="20" t="s">
        <v>410</v>
      </c>
      <c r="G34" s="20" t="s">
        <v>397</v>
      </c>
      <c r="H34" s="20">
        <v>4</v>
      </c>
      <c r="I34" s="20" t="s">
        <v>1576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1615</v>
      </c>
      <c r="D35" s="10" t="s">
        <v>119</v>
      </c>
      <c r="E35" s="12" t="s">
        <v>44</v>
      </c>
      <c r="F35" s="20" t="s">
        <v>694</v>
      </c>
      <c r="G35" s="20" t="s">
        <v>397</v>
      </c>
      <c r="H35" s="20">
        <v>4</v>
      </c>
      <c r="I35" s="20" t="s">
        <v>1576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1616</v>
      </c>
      <c r="D36" s="10" t="s">
        <v>1617</v>
      </c>
      <c r="E36" s="12" t="s">
        <v>44</v>
      </c>
      <c r="F36" s="20" t="s">
        <v>756</v>
      </c>
      <c r="G36" s="20" t="s">
        <v>397</v>
      </c>
      <c r="H36" s="20">
        <v>4</v>
      </c>
      <c r="I36" s="20" t="s">
        <v>1576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1618</v>
      </c>
      <c r="D37" s="10" t="s">
        <v>1619</v>
      </c>
      <c r="E37" s="12" t="s">
        <v>44</v>
      </c>
      <c r="F37" s="20" t="s">
        <v>52</v>
      </c>
      <c r="G37" s="20" t="s">
        <v>397</v>
      </c>
      <c r="H37" s="20">
        <v>4</v>
      </c>
      <c r="I37" s="20" t="s">
        <v>1576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1" t="s">
        <v>1620</v>
      </c>
      <c r="D38" s="9" t="s">
        <v>1621</v>
      </c>
      <c r="E38" s="11" t="s">
        <v>188</v>
      </c>
      <c r="F38" s="19" t="s">
        <v>412</v>
      </c>
      <c r="G38" s="19" t="s">
        <v>397</v>
      </c>
      <c r="H38" s="19">
        <v>4</v>
      </c>
      <c r="I38" s="19" t="s">
        <v>1576</v>
      </c>
      <c r="J38" s="17" t="s">
        <v>13</v>
      </c>
      <c r="K38" s="17" t="s">
        <v>13</v>
      </c>
      <c r="L38" s="17" t="s">
        <v>13</v>
      </c>
      <c r="M38" s="17" t="s">
        <v>13</v>
      </c>
      <c r="N38" s="14" t="str">
        <f>+IF(OR($J38=0,$K38=0,$L38=0,$M38=0),"Không đủ ĐKDT","")</f>
        <v/>
      </c>
    </row>
    <row r="39" spans="2:14" ht="16.5" customHeight="1">
      <c r="B39" s="15">
        <v>30</v>
      </c>
      <c r="C39" s="22" t="s">
        <v>1622</v>
      </c>
      <c r="D39" s="10" t="s">
        <v>184</v>
      </c>
      <c r="E39" s="12" t="s">
        <v>46</v>
      </c>
      <c r="F39" s="20" t="s">
        <v>396</v>
      </c>
      <c r="G39" s="20" t="s">
        <v>397</v>
      </c>
      <c r="H39" s="20">
        <v>4</v>
      </c>
      <c r="I39" s="20" t="s">
        <v>1576</v>
      </c>
      <c r="J39" s="18" t="s">
        <v>13</v>
      </c>
      <c r="K39" s="18" t="s">
        <v>13</v>
      </c>
      <c r="L39" s="18" t="s">
        <v>13</v>
      </c>
      <c r="M39" s="18" t="s">
        <v>13</v>
      </c>
      <c r="N39" s="16" t="str">
        <f>+IF(OR($J39=0,$K39=0,$L39=0,$M39=0),"Không đủ ĐKDT","")</f>
        <v/>
      </c>
    </row>
    <row r="40" spans="2:14" ht="16.5" customHeight="1">
      <c r="B40" s="15">
        <v>31</v>
      </c>
      <c r="C40" s="22" t="s">
        <v>1623</v>
      </c>
      <c r="D40" s="10" t="s">
        <v>1624</v>
      </c>
      <c r="E40" s="12" t="s">
        <v>46</v>
      </c>
      <c r="F40" s="20" t="s">
        <v>683</v>
      </c>
      <c r="G40" s="20" t="s">
        <v>397</v>
      </c>
      <c r="H40" s="20">
        <v>4</v>
      </c>
      <c r="I40" s="20" t="s">
        <v>1576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 t="shared" ref="N40:N65" si="1">+IF(OR($J40=0,$K40=0,$L40=0,$M40=0),"Không đủ ĐKDT","")</f>
        <v/>
      </c>
    </row>
    <row r="41" spans="2:14" ht="16.5" customHeight="1">
      <c r="B41" s="15">
        <v>32</v>
      </c>
      <c r="C41" s="22" t="s">
        <v>1625</v>
      </c>
      <c r="D41" s="10" t="s">
        <v>198</v>
      </c>
      <c r="E41" s="12" t="s">
        <v>269</v>
      </c>
      <c r="F41" s="20" t="s">
        <v>396</v>
      </c>
      <c r="G41" s="20" t="s">
        <v>397</v>
      </c>
      <c r="H41" s="20">
        <v>4</v>
      </c>
      <c r="I41" s="20" t="s">
        <v>1576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si="1"/>
        <v/>
      </c>
    </row>
    <row r="42" spans="2:14" ht="16.5" customHeight="1">
      <c r="B42" s="15">
        <v>33</v>
      </c>
      <c r="C42" s="22" t="s">
        <v>1626</v>
      </c>
      <c r="D42" s="10" t="s">
        <v>1627</v>
      </c>
      <c r="E42" s="12" t="s">
        <v>235</v>
      </c>
      <c r="F42" s="20" t="s">
        <v>690</v>
      </c>
      <c r="G42" s="20" t="s">
        <v>397</v>
      </c>
      <c r="H42" s="20">
        <v>4</v>
      </c>
      <c r="I42" s="20" t="s">
        <v>1576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1628</v>
      </c>
      <c r="D43" s="10" t="s">
        <v>66</v>
      </c>
      <c r="E43" s="12" t="s">
        <v>49</v>
      </c>
      <c r="F43" s="20" t="s">
        <v>414</v>
      </c>
      <c r="G43" s="20" t="s">
        <v>397</v>
      </c>
      <c r="H43" s="20">
        <v>4</v>
      </c>
      <c r="I43" s="20" t="s">
        <v>1576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1629</v>
      </c>
      <c r="D44" s="10" t="s">
        <v>1630</v>
      </c>
      <c r="E44" s="12" t="s">
        <v>49</v>
      </c>
      <c r="F44" s="20" t="s">
        <v>52</v>
      </c>
      <c r="G44" s="20" t="s">
        <v>397</v>
      </c>
      <c r="H44" s="20">
        <v>4</v>
      </c>
      <c r="I44" s="20" t="s">
        <v>1576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1631</v>
      </c>
      <c r="D45" s="10" t="s">
        <v>914</v>
      </c>
      <c r="E45" s="12" t="s">
        <v>49</v>
      </c>
      <c r="F45" s="20" t="s">
        <v>410</v>
      </c>
      <c r="G45" s="20" t="s">
        <v>397</v>
      </c>
      <c r="H45" s="20">
        <v>4</v>
      </c>
      <c r="I45" s="20" t="s">
        <v>1576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1632</v>
      </c>
      <c r="D46" s="10" t="s">
        <v>198</v>
      </c>
      <c r="E46" s="12" t="s">
        <v>1633</v>
      </c>
      <c r="F46" s="20" t="s">
        <v>40</v>
      </c>
      <c r="G46" s="20" t="s">
        <v>397</v>
      </c>
      <c r="H46" s="20">
        <v>4</v>
      </c>
      <c r="I46" s="20" t="s">
        <v>1576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1634</v>
      </c>
      <c r="D47" s="10" t="s">
        <v>1635</v>
      </c>
      <c r="E47" s="12" t="s">
        <v>1636</v>
      </c>
      <c r="F47" s="20" t="s">
        <v>396</v>
      </c>
      <c r="G47" s="20" t="s">
        <v>397</v>
      </c>
      <c r="H47" s="20">
        <v>4</v>
      </c>
      <c r="I47" s="20" t="s">
        <v>1576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1637</v>
      </c>
      <c r="D48" s="10" t="s">
        <v>428</v>
      </c>
      <c r="E48" s="12" t="s">
        <v>56</v>
      </c>
      <c r="F48" s="20" t="s">
        <v>720</v>
      </c>
      <c r="G48" s="20" t="s">
        <v>397</v>
      </c>
      <c r="H48" s="20">
        <v>4</v>
      </c>
      <c r="I48" s="20" t="s">
        <v>1576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1638</v>
      </c>
      <c r="D49" s="10" t="s">
        <v>112</v>
      </c>
      <c r="E49" s="12" t="s">
        <v>56</v>
      </c>
      <c r="F49" s="20" t="s">
        <v>414</v>
      </c>
      <c r="G49" s="20" t="s">
        <v>397</v>
      </c>
      <c r="H49" s="20">
        <v>4</v>
      </c>
      <c r="I49" s="20" t="s">
        <v>1576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1639</v>
      </c>
      <c r="D50" s="10" t="s">
        <v>466</v>
      </c>
      <c r="E50" s="12" t="s">
        <v>58</v>
      </c>
      <c r="F50" s="20" t="s">
        <v>683</v>
      </c>
      <c r="G50" s="20" t="s">
        <v>397</v>
      </c>
      <c r="H50" s="20">
        <v>4</v>
      </c>
      <c r="I50" s="20" t="s">
        <v>1576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1640</v>
      </c>
      <c r="D51" s="10" t="s">
        <v>780</v>
      </c>
      <c r="E51" s="12" t="s">
        <v>58</v>
      </c>
      <c r="F51" s="20" t="s">
        <v>30</v>
      </c>
      <c r="G51" s="20" t="s">
        <v>397</v>
      </c>
      <c r="H51" s="20">
        <v>4</v>
      </c>
      <c r="I51" s="20" t="s">
        <v>1576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1641</v>
      </c>
      <c r="D52" s="10" t="s">
        <v>68</v>
      </c>
      <c r="E52" s="12" t="s">
        <v>58</v>
      </c>
      <c r="F52" s="20" t="s">
        <v>414</v>
      </c>
      <c r="G52" s="20" t="s">
        <v>397</v>
      </c>
      <c r="H52" s="20">
        <v>4</v>
      </c>
      <c r="I52" s="20" t="s">
        <v>1576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1642</v>
      </c>
      <c r="D53" s="10" t="s">
        <v>1643</v>
      </c>
      <c r="E53" s="12" t="s">
        <v>62</v>
      </c>
      <c r="F53" s="20" t="s">
        <v>52</v>
      </c>
      <c r="G53" s="20" t="s">
        <v>397</v>
      </c>
      <c r="H53" s="20">
        <v>4</v>
      </c>
      <c r="I53" s="20" t="s">
        <v>1576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1644</v>
      </c>
      <c r="D54" s="10" t="s">
        <v>61</v>
      </c>
      <c r="E54" s="12" t="s">
        <v>62</v>
      </c>
      <c r="F54" s="20" t="s">
        <v>410</v>
      </c>
      <c r="G54" s="20" t="s">
        <v>397</v>
      </c>
      <c r="H54" s="20">
        <v>4</v>
      </c>
      <c r="I54" s="20" t="s">
        <v>1576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1645</v>
      </c>
      <c r="D55" s="10" t="s">
        <v>1646</v>
      </c>
      <c r="E55" s="12" t="s">
        <v>1647</v>
      </c>
      <c r="F55" s="20" t="s">
        <v>38</v>
      </c>
      <c r="G55" s="20" t="s">
        <v>397</v>
      </c>
      <c r="H55" s="20">
        <v>4</v>
      </c>
      <c r="I55" s="20" t="s">
        <v>1576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1648</v>
      </c>
      <c r="D56" s="10" t="s">
        <v>247</v>
      </c>
      <c r="E56" s="12" t="s">
        <v>1649</v>
      </c>
      <c r="F56" s="20" t="s">
        <v>683</v>
      </c>
      <c r="G56" s="20" t="s">
        <v>397</v>
      </c>
      <c r="H56" s="20">
        <v>4</v>
      </c>
      <c r="I56" s="20" t="s">
        <v>1576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1650</v>
      </c>
      <c r="D57" s="10" t="s">
        <v>242</v>
      </c>
      <c r="E57" s="12" t="s">
        <v>143</v>
      </c>
      <c r="F57" s="20" t="s">
        <v>30</v>
      </c>
      <c r="G57" s="20" t="s">
        <v>397</v>
      </c>
      <c r="H57" s="20">
        <v>4</v>
      </c>
      <c r="I57" s="20" t="s">
        <v>1576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1651</v>
      </c>
      <c r="D58" s="10" t="s">
        <v>200</v>
      </c>
      <c r="E58" s="12" t="s">
        <v>1652</v>
      </c>
      <c r="F58" s="20" t="s">
        <v>40</v>
      </c>
      <c r="G58" s="20" t="s">
        <v>397</v>
      </c>
      <c r="H58" s="20">
        <v>4</v>
      </c>
      <c r="I58" s="20" t="s">
        <v>1576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1653</v>
      </c>
      <c r="D59" s="10" t="s">
        <v>78</v>
      </c>
      <c r="E59" s="12" t="s">
        <v>72</v>
      </c>
      <c r="F59" s="20" t="s">
        <v>412</v>
      </c>
      <c r="G59" s="20" t="s">
        <v>397</v>
      </c>
      <c r="H59" s="20">
        <v>4</v>
      </c>
      <c r="I59" s="20" t="s">
        <v>1576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1654</v>
      </c>
      <c r="D60" s="10" t="s">
        <v>328</v>
      </c>
      <c r="E60" s="12" t="s">
        <v>72</v>
      </c>
      <c r="F60" s="20" t="s">
        <v>694</v>
      </c>
      <c r="G60" s="20" t="s">
        <v>397</v>
      </c>
      <c r="H60" s="20">
        <v>4</v>
      </c>
      <c r="I60" s="20" t="s">
        <v>1576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1655</v>
      </c>
      <c r="D61" s="10" t="s">
        <v>191</v>
      </c>
      <c r="E61" s="12" t="s">
        <v>192</v>
      </c>
      <c r="F61" s="20" t="s">
        <v>690</v>
      </c>
      <c r="G61" s="20" t="s">
        <v>397</v>
      </c>
      <c r="H61" s="20">
        <v>4</v>
      </c>
      <c r="I61" s="20" t="s">
        <v>1576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1656</v>
      </c>
      <c r="D62" s="10" t="s">
        <v>237</v>
      </c>
      <c r="E62" s="12" t="s">
        <v>75</v>
      </c>
      <c r="F62" s="20" t="s">
        <v>692</v>
      </c>
      <c r="G62" s="20" t="s">
        <v>397</v>
      </c>
      <c r="H62" s="20">
        <v>4</v>
      </c>
      <c r="I62" s="20" t="s">
        <v>1576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1657</v>
      </c>
      <c r="D63" s="10" t="s">
        <v>1095</v>
      </c>
      <c r="E63" s="12" t="s">
        <v>75</v>
      </c>
      <c r="F63" s="20" t="s">
        <v>720</v>
      </c>
      <c r="G63" s="20" t="s">
        <v>397</v>
      </c>
      <c r="H63" s="20">
        <v>4</v>
      </c>
      <c r="I63" s="20" t="s">
        <v>1576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1658</v>
      </c>
      <c r="D64" s="10" t="s">
        <v>240</v>
      </c>
      <c r="E64" s="12" t="s">
        <v>77</v>
      </c>
      <c r="F64" s="20" t="s">
        <v>450</v>
      </c>
      <c r="G64" s="20" t="s">
        <v>397</v>
      </c>
      <c r="H64" s="20">
        <v>4</v>
      </c>
      <c r="I64" s="20" t="s">
        <v>1576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1659</v>
      </c>
      <c r="D65" s="10" t="s">
        <v>434</v>
      </c>
      <c r="E65" s="12" t="s">
        <v>81</v>
      </c>
      <c r="F65" s="20" t="s">
        <v>410</v>
      </c>
      <c r="G65" s="20" t="s">
        <v>397</v>
      </c>
      <c r="H65" s="20">
        <v>4</v>
      </c>
      <c r="I65" s="20" t="s">
        <v>1576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1" t="s">
        <v>1660</v>
      </c>
      <c r="D66" s="9" t="s">
        <v>1661</v>
      </c>
      <c r="E66" s="11" t="s">
        <v>195</v>
      </c>
      <c r="F66" s="19" t="s">
        <v>720</v>
      </c>
      <c r="G66" s="19" t="s">
        <v>397</v>
      </c>
      <c r="H66" s="19">
        <v>4</v>
      </c>
      <c r="I66" s="19" t="s">
        <v>1576</v>
      </c>
      <c r="J66" s="17" t="s">
        <v>13</v>
      </c>
      <c r="K66" s="17" t="s">
        <v>13</v>
      </c>
      <c r="L66" s="17" t="s">
        <v>13</v>
      </c>
      <c r="M66" s="17" t="s">
        <v>13</v>
      </c>
      <c r="N66" s="14" t="str">
        <f>+IF(OR($J66=0,$K66=0,$L66=0,$M66=0),"Không đủ ĐKDT","")</f>
        <v/>
      </c>
    </row>
    <row r="67" spans="2:14" ht="16.5" customHeight="1">
      <c r="B67" s="15">
        <v>58</v>
      </c>
      <c r="C67" s="22" t="s">
        <v>1662</v>
      </c>
      <c r="D67" s="10" t="s">
        <v>1117</v>
      </c>
      <c r="E67" s="12" t="s">
        <v>195</v>
      </c>
      <c r="F67" s="20" t="s">
        <v>420</v>
      </c>
      <c r="G67" s="20" t="s">
        <v>397</v>
      </c>
      <c r="H67" s="20">
        <v>4</v>
      </c>
      <c r="I67" s="20" t="s">
        <v>1576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>+IF(OR($J67=0,$K67=0,$L67=0,$M67=0),"Không đủ ĐKDT","")</f>
        <v/>
      </c>
    </row>
    <row r="68" spans="2:14" ht="16.5" customHeight="1">
      <c r="B68" s="15">
        <v>59</v>
      </c>
      <c r="C68" s="22" t="s">
        <v>1663</v>
      </c>
      <c r="D68" s="10" t="s">
        <v>90</v>
      </c>
      <c r="E68" s="12" t="s">
        <v>89</v>
      </c>
      <c r="F68" s="20" t="s">
        <v>692</v>
      </c>
      <c r="G68" s="20" t="s">
        <v>397</v>
      </c>
      <c r="H68" s="20">
        <v>4</v>
      </c>
      <c r="I68" s="20" t="s">
        <v>1576</v>
      </c>
      <c r="J68" s="18" t="s">
        <v>13</v>
      </c>
      <c r="K68" s="18" t="s">
        <v>13</v>
      </c>
      <c r="L68" s="18" t="s">
        <v>13</v>
      </c>
      <c r="M68" s="18" t="s">
        <v>13</v>
      </c>
      <c r="N68" s="16" t="str">
        <f t="shared" ref="N68:N92" si="2">+IF(OR($J68=0,$K68=0,$L68=0,$M68=0),"Không đủ ĐKDT","")</f>
        <v/>
      </c>
    </row>
    <row r="69" spans="2:14" ht="16.5" customHeight="1">
      <c r="B69" s="15">
        <v>60</v>
      </c>
      <c r="C69" s="22" t="s">
        <v>1664</v>
      </c>
      <c r="D69" s="10" t="s">
        <v>1665</v>
      </c>
      <c r="E69" s="12" t="s">
        <v>91</v>
      </c>
      <c r="F69" s="20" t="s">
        <v>43</v>
      </c>
      <c r="G69" s="20" t="s">
        <v>397</v>
      </c>
      <c r="H69" s="20">
        <v>4</v>
      </c>
      <c r="I69" s="20" t="s">
        <v>1576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 t="shared" si="2"/>
        <v/>
      </c>
    </row>
    <row r="70" spans="2:14" ht="16.5" customHeight="1">
      <c r="B70" s="15">
        <v>61</v>
      </c>
      <c r="C70" s="22" t="s">
        <v>1666</v>
      </c>
      <c r="D70" s="10" t="s">
        <v>914</v>
      </c>
      <c r="E70" s="12" t="s">
        <v>93</v>
      </c>
      <c r="F70" s="20" t="s">
        <v>687</v>
      </c>
      <c r="G70" s="20" t="s">
        <v>397</v>
      </c>
      <c r="H70" s="20">
        <v>4</v>
      </c>
      <c r="I70" s="20" t="s">
        <v>1576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si="2"/>
        <v/>
      </c>
    </row>
    <row r="71" spans="2:14" ht="16.5" customHeight="1">
      <c r="B71" s="15">
        <v>62</v>
      </c>
      <c r="C71" s="22" t="s">
        <v>1667</v>
      </c>
      <c r="D71" s="10" t="s">
        <v>1668</v>
      </c>
      <c r="E71" s="12" t="s">
        <v>333</v>
      </c>
      <c r="F71" s="20" t="s">
        <v>30</v>
      </c>
      <c r="G71" s="20" t="s">
        <v>397</v>
      </c>
      <c r="H71" s="20">
        <v>4</v>
      </c>
      <c r="I71" s="20" t="s">
        <v>1576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1669</v>
      </c>
      <c r="D72" s="10" t="s">
        <v>160</v>
      </c>
      <c r="E72" s="12" t="s">
        <v>97</v>
      </c>
      <c r="F72" s="20" t="s">
        <v>412</v>
      </c>
      <c r="G72" s="20" t="s">
        <v>397</v>
      </c>
      <c r="H72" s="20">
        <v>4</v>
      </c>
      <c r="I72" s="20" t="s">
        <v>1576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1670</v>
      </c>
      <c r="D73" s="10" t="s">
        <v>154</v>
      </c>
      <c r="E73" s="12" t="s">
        <v>155</v>
      </c>
      <c r="F73" s="20" t="s">
        <v>456</v>
      </c>
      <c r="G73" s="20" t="s">
        <v>397</v>
      </c>
      <c r="H73" s="20">
        <v>4</v>
      </c>
      <c r="I73" s="20" t="s">
        <v>1576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1671</v>
      </c>
      <c r="D74" s="10" t="s">
        <v>78</v>
      </c>
      <c r="E74" s="12" t="s">
        <v>225</v>
      </c>
      <c r="F74" s="20" t="s">
        <v>52</v>
      </c>
      <c r="G74" s="20" t="s">
        <v>397</v>
      </c>
      <c r="H74" s="20">
        <v>4</v>
      </c>
      <c r="I74" s="20" t="s">
        <v>1576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1672</v>
      </c>
      <c r="D75" s="10" t="s">
        <v>300</v>
      </c>
      <c r="E75" s="12" t="s">
        <v>158</v>
      </c>
      <c r="F75" s="20" t="s">
        <v>405</v>
      </c>
      <c r="G75" s="20" t="s">
        <v>397</v>
      </c>
      <c r="H75" s="20">
        <v>4</v>
      </c>
      <c r="I75" s="20" t="s">
        <v>1576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1673</v>
      </c>
      <c r="D76" s="10" t="s">
        <v>1674</v>
      </c>
      <c r="E76" s="12" t="s">
        <v>158</v>
      </c>
      <c r="F76" s="20" t="s">
        <v>675</v>
      </c>
      <c r="G76" s="20" t="s">
        <v>397</v>
      </c>
      <c r="H76" s="20">
        <v>4</v>
      </c>
      <c r="I76" s="20" t="s">
        <v>1576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1675</v>
      </c>
      <c r="D77" s="10" t="s">
        <v>76</v>
      </c>
      <c r="E77" s="12" t="s">
        <v>158</v>
      </c>
      <c r="F77" s="20" t="s">
        <v>456</v>
      </c>
      <c r="G77" s="20" t="s">
        <v>397</v>
      </c>
      <c r="H77" s="20">
        <v>4</v>
      </c>
      <c r="I77" s="20" t="s">
        <v>1576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1676</v>
      </c>
      <c r="D78" s="10" t="s">
        <v>1677</v>
      </c>
      <c r="E78" s="12" t="s">
        <v>158</v>
      </c>
      <c r="F78" s="20" t="s">
        <v>414</v>
      </c>
      <c r="G78" s="20" t="s">
        <v>397</v>
      </c>
      <c r="H78" s="20">
        <v>4</v>
      </c>
      <c r="I78" s="20" t="s">
        <v>1576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1678</v>
      </c>
      <c r="D79" s="10" t="s">
        <v>329</v>
      </c>
      <c r="E79" s="12" t="s">
        <v>113</v>
      </c>
      <c r="F79" s="20" t="s">
        <v>52</v>
      </c>
      <c r="G79" s="20" t="s">
        <v>397</v>
      </c>
      <c r="H79" s="20">
        <v>4</v>
      </c>
      <c r="I79" s="20" t="s">
        <v>1576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1679</v>
      </c>
      <c r="D80" s="10" t="s">
        <v>32</v>
      </c>
      <c r="E80" s="12" t="s">
        <v>113</v>
      </c>
      <c r="F80" s="20" t="s">
        <v>696</v>
      </c>
      <c r="G80" s="20" t="s">
        <v>397</v>
      </c>
      <c r="H80" s="20">
        <v>4</v>
      </c>
      <c r="I80" s="20" t="s">
        <v>1576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1680</v>
      </c>
      <c r="D81" s="10" t="s">
        <v>1681</v>
      </c>
      <c r="E81" s="12" t="s">
        <v>915</v>
      </c>
      <c r="F81" s="20" t="s">
        <v>675</v>
      </c>
      <c r="G81" s="20" t="s">
        <v>397</v>
      </c>
      <c r="H81" s="20">
        <v>4</v>
      </c>
      <c r="I81" s="20" t="s">
        <v>1576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1682</v>
      </c>
      <c r="D82" s="10" t="s">
        <v>914</v>
      </c>
      <c r="E82" s="12" t="s">
        <v>161</v>
      </c>
      <c r="F82" s="20" t="s">
        <v>756</v>
      </c>
      <c r="G82" s="20" t="s">
        <v>397</v>
      </c>
      <c r="H82" s="20">
        <v>4</v>
      </c>
      <c r="I82" s="20" t="s">
        <v>1576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1683</v>
      </c>
      <c r="D83" s="10" t="s">
        <v>187</v>
      </c>
      <c r="E83" s="12" t="s">
        <v>1684</v>
      </c>
      <c r="F83" s="20" t="s">
        <v>675</v>
      </c>
      <c r="G83" s="20" t="s">
        <v>397</v>
      </c>
      <c r="H83" s="20">
        <v>4</v>
      </c>
      <c r="I83" s="20" t="s">
        <v>1576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1685</v>
      </c>
      <c r="D84" s="10" t="s">
        <v>1686</v>
      </c>
      <c r="E84" s="12" t="s">
        <v>1687</v>
      </c>
      <c r="F84" s="20" t="s">
        <v>683</v>
      </c>
      <c r="G84" s="20" t="s">
        <v>397</v>
      </c>
      <c r="H84" s="20">
        <v>4</v>
      </c>
      <c r="I84" s="20" t="s">
        <v>1576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1688</v>
      </c>
      <c r="D85" s="10" t="s">
        <v>254</v>
      </c>
      <c r="E85" s="12" t="s">
        <v>162</v>
      </c>
      <c r="F85" s="20" t="s">
        <v>414</v>
      </c>
      <c r="G85" s="20" t="s">
        <v>397</v>
      </c>
      <c r="H85" s="20">
        <v>4</v>
      </c>
      <c r="I85" s="20" t="s">
        <v>1576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1689</v>
      </c>
      <c r="D86" s="10" t="s">
        <v>119</v>
      </c>
      <c r="E86" s="12" t="s">
        <v>120</v>
      </c>
      <c r="F86" s="20" t="s">
        <v>696</v>
      </c>
      <c r="G86" s="20" t="s">
        <v>397</v>
      </c>
      <c r="H86" s="20">
        <v>4</v>
      </c>
      <c r="I86" s="20" t="s">
        <v>1576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1690</v>
      </c>
      <c r="D87" s="10" t="s">
        <v>603</v>
      </c>
      <c r="E87" s="12" t="s">
        <v>166</v>
      </c>
      <c r="F87" s="20" t="s">
        <v>450</v>
      </c>
      <c r="G87" s="20" t="s">
        <v>397</v>
      </c>
      <c r="H87" s="20">
        <v>4</v>
      </c>
      <c r="I87" s="20" t="s">
        <v>1576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1691</v>
      </c>
      <c r="D88" s="10" t="s">
        <v>1692</v>
      </c>
      <c r="E88" s="12" t="s">
        <v>122</v>
      </c>
      <c r="F88" s="20" t="s">
        <v>412</v>
      </c>
      <c r="G88" s="20" t="s">
        <v>397</v>
      </c>
      <c r="H88" s="20">
        <v>4</v>
      </c>
      <c r="I88" s="20" t="s">
        <v>1576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1693</v>
      </c>
      <c r="D89" s="10" t="s">
        <v>252</v>
      </c>
      <c r="E89" s="12" t="s">
        <v>128</v>
      </c>
      <c r="F89" s="20" t="s">
        <v>690</v>
      </c>
      <c r="G89" s="20" t="s">
        <v>397</v>
      </c>
      <c r="H89" s="20">
        <v>4</v>
      </c>
      <c r="I89" s="20" t="s">
        <v>1576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1694</v>
      </c>
      <c r="D90" s="10" t="s">
        <v>914</v>
      </c>
      <c r="E90" s="12" t="s">
        <v>128</v>
      </c>
      <c r="F90" s="20" t="s">
        <v>701</v>
      </c>
      <c r="G90" s="20" t="s">
        <v>397</v>
      </c>
      <c r="H90" s="20">
        <v>4</v>
      </c>
      <c r="I90" s="20" t="s">
        <v>1576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1695</v>
      </c>
      <c r="D91" s="10" t="s">
        <v>240</v>
      </c>
      <c r="E91" s="12" t="s">
        <v>171</v>
      </c>
      <c r="F91" s="20" t="s">
        <v>694</v>
      </c>
      <c r="G91" s="20" t="s">
        <v>397</v>
      </c>
      <c r="H91" s="20">
        <v>4</v>
      </c>
      <c r="I91" s="20" t="s">
        <v>1576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1696</v>
      </c>
      <c r="D92" s="10" t="s">
        <v>1481</v>
      </c>
      <c r="E92" s="12" t="s">
        <v>173</v>
      </c>
      <c r="F92" s="20" t="s">
        <v>43</v>
      </c>
      <c r="G92" s="20" t="s">
        <v>397</v>
      </c>
      <c r="H92" s="20">
        <v>4</v>
      </c>
      <c r="I92" s="20" t="s">
        <v>1576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9.5" customHeight="1">
      <c r="B93" s="64" t="s">
        <v>20</v>
      </c>
      <c r="C93" s="64"/>
      <c r="D93" s="64"/>
      <c r="E93" s="64"/>
    </row>
    <row r="94" spans="2:14" ht="19.5" customHeight="1">
      <c r="B94" s="55" t="str">
        <f>"Điểm chuyên cần: " &amp; $J$9 &amp; "% "</f>
        <v xml:space="preserve">Điểm chuyên cần: % </v>
      </c>
      <c r="C94" s="55"/>
      <c r="D94" s="55"/>
      <c r="E94" s="55"/>
    </row>
    <row r="95" spans="2:14" ht="19.5" customHeight="1">
      <c r="B95" s="55" t="str">
        <f>"Điểm trung bình kiểm tra: "&amp;$K$9&amp;"%"</f>
        <v>Điểm trung bình kiểm tra: %</v>
      </c>
      <c r="C95" s="55"/>
      <c r="D95" s="55"/>
      <c r="E95" s="55"/>
    </row>
    <row r="96" spans="2:14" ht="19.5" customHeight="1">
      <c r="B96" s="55" t="str">
        <f>"Điểm thí nghiệm, thực hành: "&amp;$L$9&amp;"%"</f>
        <v>Điểm thí nghiệm, thực hành: %</v>
      </c>
      <c r="C96" s="55"/>
      <c r="D96" s="55"/>
      <c r="E96" s="55"/>
    </row>
    <row r="97" spans="2:14" ht="19.5" customHeight="1">
      <c r="B97" s="55" t="str">
        <f>"Điểm bài tập tiểu luận, seminar: "&amp;$M$9&amp;"%"</f>
        <v>Điểm bài tập tiểu luận, seminar: %</v>
      </c>
      <c r="C97" s="55"/>
      <c r="D97" s="55"/>
      <c r="E97" s="55"/>
    </row>
    <row r="98" spans="2:14">
      <c r="J98" s="56" t="s">
        <v>21</v>
      </c>
      <c r="K98" s="56"/>
      <c r="L98" s="56"/>
      <c r="M98" s="56"/>
      <c r="N98" s="56"/>
    </row>
    <row r="99" spans="2:14" ht="32.25" customHeight="1">
      <c r="B99" s="57" t="s">
        <v>17</v>
      </c>
      <c r="C99" s="57"/>
      <c r="D99" s="57"/>
      <c r="E99" s="57"/>
      <c r="F99" s="28"/>
      <c r="G99" s="28"/>
      <c r="H99" s="28"/>
      <c r="I99" s="28"/>
      <c r="J99" s="57" t="s">
        <v>18</v>
      </c>
      <c r="K99" s="57"/>
      <c r="L99" s="57"/>
      <c r="M99" s="57"/>
      <c r="N99" s="57"/>
    </row>
    <row r="105" spans="2:14">
      <c r="J105" s="58"/>
      <c r="K105" s="58"/>
      <c r="L105" s="58"/>
      <c r="M105" s="58"/>
      <c r="N105" s="58"/>
    </row>
  </sheetData>
  <sheetProtection formatCells="0" formatColumns="0" formatRows="0" insertColumns="0" insertRows="0" insertHyperlinks="0" deleteColumns="0" deleteRows="0" sort="0" autoFilter="0" pivotTables="0"/>
  <autoFilter ref="A8:N37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6:E96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3:E93"/>
    <mergeCell ref="B94:E94"/>
    <mergeCell ref="B95:E95"/>
    <mergeCell ref="L7:L8"/>
    <mergeCell ref="M7:M8"/>
    <mergeCell ref="B97:E97"/>
    <mergeCell ref="J98:N98"/>
    <mergeCell ref="B99:E99"/>
    <mergeCell ref="J99:N99"/>
    <mergeCell ref="J105:N105"/>
  </mergeCells>
  <conditionalFormatting sqref="J10:M10">
    <cfRule type="cellIs" dxfId="357" priority="55" stopIfTrue="1" operator="greaterThan">
      <formula>10</formula>
    </cfRule>
    <cfRule type="cellIs" dxfId="356" priority="56" stopIfTrue="1" operator="greaterThan">
      <formula>10</formula>
    </cfRule>
    <cfRule type="cellIs" dxfId="355" priority="57" stopIfTrue="1" operator="greaterThan">
      <formula>10</formula>
    </cfRule>
    <cfRule type="cellIs" dxfId="354" priority="58" stopIfTrue="1" operator="greaterThan">
      <formula>10</formula>
    </cfRule>
  </conditionalFormatting>
  <conditionalFormatting sqref="J11:M13">
    <cfRule type="cellIs" dxfId="353" priority="51" stopIfTrue="1" operator="greaterThan">
      <formula>10</formula>
    </cfRule>
    <cfRule type="cellIs" dxfId="352" priority="52" stopIfTrue="1" operator="greaterThan">
      <formula>10</formula>
    </cfRule>
    <cfRule type="cellIs" dxfId="351" priority="53" stopIfTrue="1" operator="greaterThan">
      <formula>10</formula>
    </cfRule>
    <cfRule type="cellIs" dxfId="350" priority="54" stopIfTrue="1" operator="greaterThan">
      <formula>10</formula>
    </cfRule>
  </conditionalFormatting>
  <conditionalFormatting sqref="J14:M15 J23:M37">
    <cfRule type="cellIs" dxfId="349" priority="47" stopIfTrue="1" operator="greaterThan">
      <formula>10</formula>
    </cfRule>
    <cfRule type="cellIs" dxfId="348" priority="48" stopIfTrue="1" operator="greaterThan">
      <formula>10</formula>
    </cfRule>
    <cfRule type="cellIs" dxfId="347" priority="49" stopIfTrue="1" operator="greaterThan">
      <formula>10</formula>
    </cfRule>
    <cfRule type="cellIs" dxfId="346" priority="50" stopIfTrue="1" operator="greaterThan">
      <formula>10</formula>
    </cfRule>
  </conditionalFormatting>
  <conditionalFormatting sqref="J16:M22">
    <cfRule type="cellIs" dxfId="345" priority="41" stopIfTrue="1" operator="greaterThan">
      <formula>10</formula>
    </cfRule>
    <cfRule type="cellIs" dxfId="344" priority="42" stopIfTrue="1" operator="greaterThan">
      <formula>10</formula>
    </cfRule>
    <cfRule type="cellIs" dxfId="343" priority="43" stopIfTrue="1" operator="greaterThan">
      <formula>10</formula>
    </cfRule>
    <cfRule type="cellIs" dxfId="342" priority="44" stopIfTrue="1" operator="greaterThan">
      <formula>10</formula>
    </cfRule>
  </conditionalFormatting>
  <conditionalFormatting sqref="C16:C22">
    <cfRule type="duplicateValues" dxfId="341" priority="45" stopIfTrue="1"/>
    <cfRule type="duplicateValues" dxfId="340" priority="46" stopIfTrue="1"/>
  </conditionalFormatting>
  <conditionalFormatting sqref="C10:C15 C23:C37">
    <cfRule type="duplicateValues" dxfId="339" priority="233" stopIfTrue="1"/>
    <cfRule type="duplicateValues" dxfId="338" priority="234" stopIfTrue="1"/>
  </conditionalFormatting>
  <conditionalFormatting sqref="J38:M38">
    <cfRule type="cellIs" dxfId="337" priority="35" stopIfTrue="1" operator="greaterThan">
      <formula>10</formula>
    </cfRule>
    <cfRule type="cellIs" dxfId="336" priority="36" stopIfTrue="1" operator="greaterThan">
      <formula>10</formula>
    </cfRule>
    <cfRule type="cellIs" dxfId="335" priority="37" stopIfTrue="1" operator="greaterThan">
      <formula>10</formula>
    </cfRule>
    <cfRule type="cellIs" dxfId="334" priority="38" stopIfTrue="1" operator="greaterThan">
      <formula>10</formula>
    </cfRule>
  </conditionalFormatting>
  <conditionalFormatting sqref="J39:M41">
    <cfRule type="cellIs" dxfId="333" priority="31" stopIfTrue="1" operator="greaterThan">
      <formula>10</formula>
    </cfRule>
    <cfRule type="cellIs" dxfId="332" priority="32" stopIfTrue="1" operator="greaterThan">
      <formula>10</formula>
    </cfRule>
    <cfRule type="cellIs" dxfId="331" priority="33" stopIfTrue="1" operator="greaterThan">
      <formula>10</formula>
    </cfRule>
    <cfRule type="cellIs" dxfId="330" priority="34" stopIfTrue="1" operator="greaterThan">
      <formula>10</formula>
    </cfRule>
  </conditionalFormatting>
  <conditionalFormatting sqref="J42:M43 J51:M65">
    <cfRule type="cellIs" dxfId="329" priority="27" stopIfTrue="1" operator="greaterThan">
      <formula>10</formula>
    </cfRule>
    <cfRule type="cellIs" dxfId="328" priority="28" stopIfTrue="1" operator="greaterThan">
      <formula>10</formula>
    </cfRule>
    <cfRule type="cellIs" dxfId="327" priority="29" stopIfTrue="1" operator="greaterThan">
      <formula>10</formula>
    </cfRule>
    <cfRule type="cellIs" dxfId="326" priority="30" stopIfTrue="1" operator="greaterThan">
      <formula>10</formula>
    </cfRule>
  </conditionalFormatting>
  <conditionalFormatting sqref="J44:M50">
    <cfRule type="cellIs" dxfId="325" priority="21" stopIfTrue="1" operator="greaterThan">
      <formula>10</formula>
    </cfRule>
    <cfRule type="cellIs" dxfId="324" priority="22" stopIfTrue="1" operator="greaterThan">
      <formula>10</formula>
    </cfRule>
    <cfRule type="cellIs" dxfId="323" priority="23" stopIfTrue="1" operator="greaterThan">
      <formula>10</formula>
    </cfRule>
    <cfRule type="cellIs" dxfId="322" priority="24" stopIfTrue="1" operator="greaterThan">
      <formula>10</formula>
    </cfRule>
  </conditionalFormatting>
  <conditionalFormatting sqref="C44:C50">
    <cfRule type="duplicateValues" dxfId="321" priority="25" stopIfTrue="1"/>
    <cfRule type="duplicateValues" dxfId="320" priority="26" stopIfTrue="1"/>
  </conditionalFormatting>
  <conditionalFormatting sqref="C38:C43 C51:C65">
    <cfRule type="duplicateValues" dxfId="319" priority="39" stopIfTrue="1"/>
    <cfRule type="duplicateValues" dxfId="318" priority="40" stopIfTrue="1"/>
  </conditionalFormatting>
  <conditionalFormatting sqref="J66:M66">
    <cfRule type="cellIs" dxfId="317" priority="15" stopIfTrue="1" operator="greaterThan">
      <formula>10</formula>
    </cfRule>
    <cfRule type="cellIs" dxfId="316" priority="16" stopIfTrue="1" operator="greaterThan">
      <formula>10</formula>
    </cfRule>
    <cfRule type="cellIs" dxfId="315" priority="17" stopIfTrue="1" operator="greaterThan">
      <formula>10</formula>
    </cfRule>
    <cfRule type="cellIs" dxfId="314" priority="18" stopIfTrue="1" operator="greaterThan">
      <formula>10</formula>
    </cfRule>
  </conditionalFormatting>
  <conditionalFormatting sqref="J67:M69">
    <cfRule type="cellIs" dxfId="313" priority="11" stopIfTrue="1" operator="greaterThan">
      <formula>10</formula>
    </cfRule>
    <cfRule type="cellIs" dxfId="312" priority="12" stopIfTrue="1" operator="greaterThan">
      <formula>10</formula>
    </cfRule>
    <cfRule type="cellIs" dxfId="311" priority="13" stopIfTrue="1" operator="greaterThan">
      <formula>10</formula>
    </cfRule>
    <cfRule type="cellIs" dxfId="310" priority="14" stopIfTrue="1" operator="greaterThan">
      <formula>10</formula>
    </cfRule>
  </conditionalFormatting>
  <conditionalFormatting sqref="J70:M71 J79:M92">
    <cfRule type="cellIs" dxfId="309" priority="7" stopIfTrue="1" operator="greaterThan">
      <formula>10</formula>
    </cfRule>
    <cfRule type="cellIs" dxfId="308" priority="8" stopIfTrue="1" operator="greaterThan">
      <formula>10</formula>
    </cfRule>
    <cfRule type="cellIs" dxfId="307" priority="9" stopIfTrue="1" operator="greaterThan">
      <formula>10</formula>
    </cfRule>
    <cfRule type="cellIs" dxfId="306" priority="10" stopIfTrue="1" operator="greaterThan">
      <formula>10</formula>
    </cfRule>
  </conditionalFormatting>
  <conditionalFormatting sqref="J72:M78">
    <cfRule type="cellIs" dxfId="305" priority="1" stopIfTrue="1" operator="greaterThan">
      <formula>10</formula>
    </cfRule>
    <cfRule type="cellIs" dxfId="304" priority="2" stopIfTrue="1" operator="greaterThan">
      <formula>10</formula>
    </cfRule>
    <cfRule type="cellIs" dxfId="303" priority="3" stopIfTrue="1" operator="greaterThan">
      <formula>10</formula>
    </cfRule>
    <cfRule type="cellIs" dxfId="302" priority="4" stopIfTrue="1" operator="greaterThan">
      <formula>10</formula>
    </cfRule>
  </conditionalFormatting>
  <conditionalFormatting sqref="C72:C78">
    <cfRule type="duplicateValues" dxfId="301" priority="5" stopIfTrue="1"/>
    <cfRule type="duplicateValues" dxfId="300" priority="6" stopIfTrue="1"/>
  </conditionalFormatting>
  <conditionalFormatting sqref="C66:C71 C79:C92">
    <cfRule type="duplicateValues" dxfId="299" priority="19" stopIfTrue="1"/>
    <cfRule type="duplicateValues" dxfId="298" priority="20" stopIfTrue="1"/>
  </conditionalFormatting>
  <dataValidations count="1">
    <dataValidation type="decimal" allowBlank="1" showInputMessage="1" showErrorMessage="1" error="Sai định dạng" sqref="J10:M92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B1:N108"/>
  <sheetViews>
    <sheetView topLeftCell="A84" workbookViewId="0">
      <selection activeCell="B36" sqref="B36:B95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BAS1224_04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1460</v>
      </c>
      <c r="D10" s="9" t="s">
        <v>139</v>
      </c>
      <c r="E10" s="11" t="s">
        <v>26</v>
      </c>
      <c r="F10" s="19" t="s">
        <v>414</v>
      </c>
      <c r="G10" s="19" t="s">
        <v>397</v>
      </c>
      <c r="H10" s="19">
        <v>4</v>
      </c>
      <c r="I10" s="19" t="s">
        <v>1461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1462</v>
      </c>
      <c r="D11" s="10" t="s">
        <v>90</v>
      </c>
      <c r="E11" s="12" t="s">
        <v>26</v>
      </c>
      <c r="F11" s="20" t="s">
        <v>444</v>
      </c>
      <c r="G11" s="20" t="s">
        <v>397</v>
      </c>
      <c r="H11" s="20">
        <v>4</v>
      </c>
      <c r="I11" s="20" t="s">
        <v>1461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1463</v>
      </c>
      <c r="D12" s="10" t="s">
        <v>1464</v>
      </c>
      <c r="E12" s="12" t="s">
        <v>27</v>
      </c>
      <c r="F12" s="20" t="s">
        <v>692</v>
      </c>
      <c r="G12" s="20" t="s">
        <v>397</v>
      </c>
      <c r="H12" s="20">
        <v>4</v>
      </c>
      <c r="I12" s="20" t="s">
        <v>1461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1465</v>
      </c>
      <c r="D13" s="10" t="s">
        <v>187</v>
      </c>
      <c r="E13" s="12" t="s">
        <v>27</v>
      </c>
      <c r="F13" s="20" t="s">
        <v>621</v>
      </c>
      <c r="G13" s="20" t="s">
        <v>397</v>
      </c>
      <c r="H13" s="20">
        <v>4</v>
      </c>
      <c r="I13" s="20" t="s">
        <v>1461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1466</v>
      </c>
      <c r="D14" s="10" t="s">
        <v>1301</v>
      </c>
      <c r="E14" s="12" t="s">
        <v>27</v>
      </c>
      <c r="F14" s="20" t="s">
        <v>696</v>
      </c>
      <c r="G14" s="20" t="s">
        <v>397</v>
      </c>
      <c r="H14" s="20">
        <v>4</v>
      </c>
      <c r="I14" s="20" t="s">
        <v>1461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1467</v>
      </c>
      <c r="D15" s="10" t="s">
        <v>296</v>
      </c>
      <c r="E15" s="12" t="s">
        <v>27</v>
      </c>
      <c r="F15" s="20" t="s">
        <v>420</v>
      </c>
      <c r="G15" s="20" t="s">
        <v>397</v>
      </c>
      <c r="H15" s="20">
        <v>4</v>
      </c>
      <c r="I15" s="20" t="s">
        <v>1461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1468</v>
      </c>
      <c r="D16" s="10" t="s">
        <v>914</v>
      </c>
      <c r="E16" s="12" t="s">
        <v>27</v>
      </c>
      <c r="F16" s="20" t="s">
        <v>40</v>
      </c>
      <c r="G16" s="20" t="s">
        <v>397</v>
      </c>
      <c r="H16" s="20">
        <v>4</v>
      </c>
      <c r="I16" s="20" t="s">
        <v>1461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1469</v>
      </c>
      <c r="D17" s="10" t="s">
        <v>1470</v>
      </c>
      <c r="E17" s="12" t="s">
        <v>27</v>
      </c>
      <c r="F17" s="20" t="s">
        <v>1115</v>
      </c>
      <c r="G17" s="20" t="s">
        <v>397</v>
      </c>
      <c r="H17" s="20">
        <v>4</v>
      </c>
      <c r="I17" s="20" t="s">
        <v>1461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1471</v>
      </c>
      <c r="D18" s="10" t="s">
        <v>390</v>
      </c>
      <c r="E18" s="12" t="s">
        <v>31</v>
      </c>
      <c r="F18" s="20" t="s">
        <v>450</v>
      </c>
      <c r="G18" s="20" t="s">
        <v>397</v>
      </c>
      <c r="H18" s="20">
        <v>4</v>
      </c>
      <c r="I18" s="20" t="s">
        <v>1461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1472</v>
      </c>
      <c r="D19" s="10" t="s">
        <v>1473</v>
      </c>
      <c r="E19" s="12" t="s">
        <v>230</v>
      </c>
      <c r="F19" s="20" t="s">
        <v>444</v>
      </c>
      <c r="G19" s="20" t="s">
        <v>397</v>
      </c>
      <c r="H19" s="20">
        <v>4</v>
      </c>
      <c r="I19" s="20" t="s">
        <v>1461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1474</v>
      </c>
      <c r="D20" s="10" t="s">
        <v>878</v>
      </c>
      <c r="E20" s="12" t="s">
        <v>230</v>
      </c>
      <c r="F20" s="20" t="s">
        <v>40</v>
      </c>
      <c r="G20" s="20" t="s">
        <v>397</v>
      </c>
      <c r="H20" s="20">
        <v>4</v>
      </c>
      <c r="I20" s="20" t="s">
        <v>1461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1475</v>
      </c>
      <c r="D21" s="10" t="s">
        <v>1476</v>
      </c>
      <c r="E21" s="12" t="s">
        <v>180</v>
      </c>
      <c r="F21" s="20" t="s">
        <v>450</v>
      </c>
      <c r="G21" s="20" t="s">
        <v>397</v>
      </c>
      <c r="H21" s="20">
        <v>4</v>
      </c>
      <c r="I21" s="20" t="s">
        <v>1461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1477</v>
      </c>
      <c r="D22" s="10" t="s">
        <v>182</v>
      </c>
      <c r="E22" s="12" t="s">
        <v>180</v>
      </c>
      <c r="F22" s="20" t="s">
        <v>40</v>
      </c>
      <c r="G22" s="20" t="s">
        <v>397</v>
      </c>
      <c r="H22" s="20">
        <v>4</v>
      </c>
      <c r="I22" s="20" t="s">
        <v>1461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1478</v>
      </c>
      <c r="D23" s="10" t="s">
        <v>163</v>
      </c>
      <c r="E23" s="12" t="s">
        <v>180</v>
      </c>
      <c r="F23" s="20" t="s">
        <v>675</v>
      </c>
      <c r="G23" s="20" t="s">
        <v>397</v>
      </c>
      <c r="H23" s="20">
        <v>4</v>
      </c>
      <c r="I23" s="20" t="s">
        <v>1461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1479</v>
      </c>
      <c r="D24" s="10" t="s">
        <v>131</v>
      </c>
      <c r="E24" s="12" t="s">
        <v>134</v>
      </c>
      <c r="F24" s="20" t="s">
        <v>43</v>
      </c>
      <c r="G24" s="20" t="s">
        <v>397</v>
      </c>
      <c r="H24" s="20">
        <v>4</v>
      </c>
      <c r="I24" s="20" t="s">
        <v>1461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1480</v>
      </c>
      <c r="D25" s="10" t="s">
        <v>1481</v>
      </c>
      <c r="E25" s="12" t="s">
        <v>36</v>
      </c>
      <c r="F25" s="20" t="s">
        <v>40</v>
      </c>
      <c r="G25" s="20" t="s">
        <v>397</v>
      </c>
      <c r="H25" s="20">
        <v>4</v>
      </c>
      <c r="I25" s="20" t="s">
        <v>1461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1482</v>
      </c>
      <c r="D26" s="10" t="s">
        <v>184</v>
      </c>
      <c r="E26" s="12" t="s">
        <v>36</v>
      </c>
      <c r="F26" s="20" t="s">
        <v>420</v>
      </c>
      <c r="G26" s="20" t="s">
        <v>397</v>
      </c>
      <c r="H26" s="20">
        <v>4</v>
      </c>
      <c r="I26" s="20" t="s">
        <v>1461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1483</v>
      </c>
      <c r="D27" s="10" t="s">
        <v>74</v>
      </c>
      <c r="E27" s="12" t="s">
        <v>36</v>
      </c>
      <c r="F27" s="20" t="s">
        <v>701</v>
      </c>
      <c r="G27" s="20" t="s">
        <v>397</v>
      </c>
      <c r="H27" s="20">
        <v>4</v>
      </c>
      <c r="I27" s="20" t="s">
        <v>1461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1484</v>
      </c>
      <c r="D28" s="10" t="s">
        <v>37</v>
      </c>
      <c r="E28" s="12" t="s">
        <v>36</v>
      </c>
      <c r="F28" s="20" t="s">
        <v>38</v>
      </c>
      <c r="G28" s="20" t="s">
        <v>397</v>
      </c>
      <c r="H28" s="20">
        <v>4</v>
      </c>
      <c r="I28" s="20" t="s">
        <v>1461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1485</v>
      </c>
      <c r="D29" s="10" t="s">
        <v>76</v>
      </c>
      <c r="E29" s="12" t="s">
        <v>36</v>
      </c>
      <c r="F29" s="20" t="s">
        <v>432</v>
      </c>
      <c r="G29" s="20" t="s">
        <v>397</v>
      </c>
      <c r="H29" s="20">
        <v>4</v>
      </c>
      <c r="I29" s="20" t="s">
        <v>1461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1486</v>
      </c>
      <c r="D30" s="10" t="s">
        <v>174</v>
      </c>
      <c r="E30" s="12" t="s">
        <v>136</v>
      </c>
      <c r="F30" s="20" t="s">
        <v>432</v>
      </c>
      <c r="G30" s="20" t="s">
        <v>397</v>
      </c>
      <c r="H30" s="20">
        <v>4</v>
      </c>
      <c r="I30" s="20" t="s">
        <v>1461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1487</v>
      </c>
      <c r="D31" s="10" t="s">
        <v>174</v>
      </c>
      <c r="E31" s="12" t="s">
        <v>136</v>
      </c>
      <c r="F31" s="20" t="s">
        <v>720</v>
      </c>
      <c r="G31" s="20" t="s">
        <v>397</v>
      </c>
      <c r="H31" s="20">
        <v>4</v>
      </c>
      <c r="I31" s="20" t="s">
        <v>1461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1488</v>
      </c>
      <c r="D32" s="10" t="s">
        <v>1489</v>
      </c>
      <c r="E32" s="12" t="s">
        <v>136</v>
      </c>
      <c r="F32" s="20" t="s">
        <v>405</v>
      </c>
      <c r="G32" s="20" t="s">
        <v>397</v>
      </c>
      <c r="H32" s="20">
        <v>4</v>
      </c>
      <c r="I32" s="20" t="s">
        <v>1461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1490</v>
      </c>
      <c r="D33" s="10" t="s">
        <v>198</v>
      </c>
      <c r="E33" s="12" t="s">
        <v>1491</v>
      </c>
      <c r="F33" s="20" t="s">
        <v>444</v>
      </c>
      <c r="G33" s="20" t="s">
        <v>397</v>
      </c>
      <c r="H33" s="20">
        <v>4</v>
      </c>
      <c r="I33" s="20" t="s">
        <v>1461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1492</v>
      </c>
      <c r="D34" s="10" t="s">
        <v>1493</v>
      </c>
      <c r="E34" s="12" t="s">
        <v>39</v>
      </c>
      <c r="F34" s="20" t="s">
        <v>468</v>
      </c>
      <c r="G34" s="20" t="s">
        <v>397</v>
      </c>
      <c r="H34" s="20">
        <v>4</v>
      </c>
      <c r="I34" s="20" t="s">
        <v>1461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1494</v>
      </c>
      <c r="D35" s="10" t="s">
        <v>146</v>
      </c>
      <c r="E35" s="12" t="s">
        <v>44</v>
      </c>
      <c r="F35" s="20" t="s">
        <v>405</v>
      </c>
      <c r="G35" s="20" t="s">
        <v>397</v>
      </c>
      <c r="H35" s="20">
        <v>4</v>
      </c>
      <c r="I35" s="20" t="s">
        <v>1461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1495</v>
      </c>
      <c r="D36" s="10" t="s">
        <v>1496</v>
      </c>
      <c r="E36" s="12" t="s">
        <v>49</v>
      </c>
      <c r="F36" s="20" t="s">
        <v>1497</v>
      </c>
      <c r="G36" s="20" t="s">
        <v>397</v>
      </c>
      <c r="H36" s="20">
        <v>4</v>
      </c>
      <c r="I36" s="20" t="s">
        <v>1461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1498</v>
      </c>
      <c r="D37" s="10" t="s">
        <v>846</v>
      </c>
      <c r="E37" s="12" t="s">
        <v>49</v>
      </c>
      <c r="F37" s="20" t="s">
        <v>701</v>
      </c>
      <c r="G37" s="20" t="s">
        <v>397</v>
      </c>
      <c r="H37" s="20">
        <v>4</v>
      </c>
      <c r="I37" s="20" t="s">
        <v>1461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1499</v>
      </c>
      <c r="D38" s="10" t="s">
        <v>914</v>
      </c>
      <c r="E38" s="12" t="s">
        <v>49</v>
      </c>
      <c r="F38" s="20" t="s">
        <v>432</v>
      </c>
      <c r="G38" s="20" t="s">
        <v>397</v>
      </c>
      <c r="H38" s="20">
        <v>4</v>
      </c>
      <c r="I38" s="20" t="s">
        <v>1461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1500</v>
      </c>
      <c r="D39" s="9" t="s">
        <v>1501</v>
      </c>
      <c r="E39" s="11" t="s">
        <v>140</v>
      </c>
      <c r="F39" s="19" t="s">
        <v>444</v>
      </c>
      <c r="G39" s="19" t="s">
        <v>397</v>
      </c>
      <c r="H39" s="19">
        <v>4</v>
      </c>
      <c r="I39" s="19" t="s">
        <v>1461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1502</v>
      </c>
      <c r="D40" s="10" t="s">
        <v>1375</v>
      </c>
      <c r="E40" s="12" t="s">
        <v>56</v>
      </c>
      <c r="F40" s="20" t="s">
        <v>420</v>
      </c>
      <c r="G40" s="20" t="s">
        <v>397</v>
      </c>
      <c r="H40" s="20">
        <v>4</v>
      </c>
      <c r="I40" s="20" t="s">
        <v>1461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1503</v>
      </c>
      <c r="D41" s="10" t="s">
        <v>323</v>
      </c>
      <c r="E41" s="12" t="s">
        <v>56</v>
      </c>
      <c r="F41" s="20" t="s">
        <v>405</v>
      </c>
      <c r="G41" s="20" t="s">
        <v>397</v>
      </c>
      <c r="H41" s="20">
        <v>4</v>
      </c>
      <c r="I41" s="20" t="s">
        <v>1461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7" si="1">+IF(OR($J41=0,$K41=0,$L41=0,$M41=0),"Không đủ ĐKDT","")</f>
        <v/>
      </c>
    </row>
    <row r="42" spans="2:14" ht="16.5" customHeight="1">
      <c r="B42" s="15">
        <v>33</v>
      </c>
      <c r="C42" s="22" t="s">
        <v>1504</v>
      </c>
      <c r="D42" s="10" t="s">
        <v>254</v>
      </c>
      <c r="E42" s="12" t="s">
        <v>58</v>
      </c>
      <c r="F42" s="20" t="s">
        <v>82</v>
      </c>
      <c r="G42" s="20" t="s">
        <v>397</v>
      </c>
      <c r="H42" s="20">
        <v>4</v>
      </c>
      <c r="I42" s="20" t="s">
        <v>1461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1505</v>
      </c>
      <c r="D43" s="10" t="s">
        <v>177</v>
      </c>
      <c r="E43" s="12" t="s">
        <v>67</v>
      </c>
      <c r="F43" s="20" t="s">
        <v>444</v>
      </c>
      <c r="G43" s="20" t="s">
        <v>397</v>
      </c>
      <c r="H43" s="20">
        <v>4</v>
      </c>
      <c r="I43" s="20" t="s">
        <v>1461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1506</v>
      </c>
      <c r="D44" s="10" t="s">
        <v>938</v>
      </c>
      <c r="E44" s="12" t="s">
        <v>67</v>
      </c>
      <c r="F44" s="20" t="s">
        <v>410</v>
      </c>
      <c r="G44" s="20" t="s">
        <v>397</v>
      </c>
      <c r="H44" s="20">
        <v>4</v>
      </c>
      <c r="I44" s="20" t="s">
        <v>1461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1507</v>
      </c>
      <c r="D45" s="10" t="s">
        <v>256</v>
      </c>
      <c r="E45" s="12" t="s">
        <v>67</v>
      </c>
      <c r="F45" s="20" t="s">
        <v>696</v>
      </c>
      <c r="G45" s="20" t="s">
        <v>397</v>
      </c>
      <c r="H45" s="20">
        <v>4</v>
      </c>
      <c r="I45" s="20" t="s">
        <v>1461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1508</v>
      </c>
      <c r="D46" s="10" t="s">
        <v>1509</v>
      </c>
      <c r="E46" s="12" t="s">
        <v>69</v>
      </c>
      <c r="F46" s="20" t="s">
        <v>40</v>
      </c>
      <c r="G46" s="20" t="s">
        <v>397</v>
      </c>
      <c r="H46" s="20">
        <v>4</v>
      </c>
      <c r="I46" s="20" t="s">
        <v>1461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1510</v>
      </c>
      <c r="D47" s="10" t="s">
        <v>1511</v>
      </c>
      <c r="E47" s="12" t="s">
        <v>69</v>
      </c>
      <c r="F47" s="20" t="s">
        <v>117</v>
      </c>
      <c r="G47" s="20" t="s">
        <v>397</v>
      </c>
      <c r="H47" s="20">
        <v>4</v>
      </c>
      <c r="I47" s="20" t="s">
        <v>1461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1512</v>
      </c>
      <c r="D48" s="10" t="s">
        <v>163</v>
      </c>
      <c r="E48" s="12" t="s">
        <v>1262</v>
      </c>
      <c r="F48" s="20" t="s">
        <v>414</v>
      </c>
      <c r="G48" s="20" t="s">
        <v>397</v>
      </c>
      <c r="H48" s="20">
        <v>4</v>
      </c>
      <c r="I48" s="20" t="s">
        <v>1461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1513</v>
      </c>
      <c r="D49" s="10" t="s">
        <v>139</v>
      </c>
      <c r="E49" s="12" t="s">
        <v>71</v>
      </c>
      <c r="F49" s="20" t="s">
        <v>414</v>
      </c>
      <c r="G49" s="20" t="s">
        <v>397</v>
      </c>
      <c r="H49" s="20">
        <v>4</v>
      </c>
      <c r="I49" s="20" t="s">
        <v>1461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1514</v>
      </c>
      <c r="D50" s="10" t="s">
        <v>68</v>
      </c>
      <c r="E50" s="12" t="s">
        <v>71</v>
      </c>
      <c r="F50" s="20" t="s">
        <v>692</v>
      </c>
      <c r="G50" s="20" t="s">
        <v>397</v>
      </c>
      <c r="H50" s="20">
        <v>4</v>
      </c>
      <c r="I50" s="20" t="s">
        <v>1461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1515</v>
      </c>
      <c r="D51" s="10" t="s">
        <v>1516</v>
      </c>
      <c r="E51" s="12" t="s">
        <v>71</v>
      </c>
      <c r="F51" s="20" t="s">
        <v>696</v>
      </c>
      <c r="G51" s="20" t="s">
        <v>397</v>
      </c>
      <c r="H51" s="20">
        <v>4</v>
      </c>
      <c r="I51" s="20" t="s">
        <v>1461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1517</v>
      </c>
      <c r="D52" s="10" t="s">
        <v>216</v>
      </c>
      <c r="E52" s="12" t="s">
        <v>72</v>
      </c>
      <c r="F52" s="20" t="s">
        <v>396</v>
      </c>
      <c r="G52" s="20" t="s">
        <v>397</v>
      </c>
      <c r="H52" s="20">
        <v>4</v>
      </c>
      <c r="I52" s="20" t="s">
        <v>1461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1518</v>
      </c>
      <c r="D53" s="10" t="s">
        <v>281</v>
      </c>
      <c r="E53" s="12" t="s">
        <v>72</v>
      </c>
      <c r="F53" s="20" t="s">
        <v>675</v>
      </c>
      <c r="G53" s="20" t="s">
        <v>397</v>
      </c>
      <c r="H53" s="20">
        <v>4</v>
      </c>
      <c r="I53" s="20" t="s">
        <v>1461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1519</v>
      </c>
      <c r="D54" s="10" t="s">
        <v>1520</v>
      </c>
      <c r="E54" s="12" t="s">
        <v>72</v>
      </c>
      <c r="F54" s="20" t="s">
        <v>432</v>
      </c>
      <c r="G54" s="20" t="s">
        <v>397</v>
      </c>
      <c r="H54" s="20">
        <v>4</v>
      </c>
      <c r="I54" s="20" t="s">
        <v>1461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1521</v>
      </c>
      <c r="D55" s="10" t="s">
        <v>32</v>
      </c>
      <c r="E55" s="12" t="s">
        <v>72</v>
      </c>
      <c r="F55" s="20" t="s">
        <v>696</v>
      </c>
      <c r="G55" s="20" t="s">
        <v>397</v>
      </c>
      <c r="H55" s="20">
        <v>4</v>
      </c>
      <c r="I55" s="20" t="s">
        <v>1461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1522</v>
      </c>
      <c r="D56" s="10" t="s">
        <v>256</v>
      </c>
      <c r="E56" s="12" t="s">
        <v>72</v>
      </c>
      <c r="F56" s="20" t="s">
        <v>444</v>
      </c>
      <c r="G56" s="20" t="s">
        <v>397</v>
      </c>
      <c r="H56" s="20">
        <v>4</v>
      </c>
      <c r="I56" s="20" t="s">
        <v>1461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1523</v>
      </c>
      <c r="D57" s="10" t="s">
        <v>112</v>
      </c>
      <c r="E57" s="12" t="s">
        <v>73</v>
      </c>
      <c r="F57" s="20" t="s">
        <v>675</v>
      </c>
      <c r="G57" s="20" t="s">
        <v>397</v>
      </c>
      <c r="H57" s="20">
        <v>4</v>
      </c>
      <c r="I57" s="20" t="s">
        <v>1461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1524</v>
      </c>
      <c r="D58" s="10" t="s">
        <v>76</v>
      </c>
      <c r="E58" s="12" t="s">
        <v>73</v>
      </c>
      <c r="F58" s="20" t="s">
        <v>412</v>
      </c>
      <c r="G58" s="20" t="s">
        <v>397</v>
      </c>
      <c r="H58" s="20">
        <v>4</v>
      </c>
      <c r="I58" s="20" t="s">
        <v>1461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1525</v>
      </c>
      <c r="D59" s="10" t="s">
        <v>221</v>
      </c>
      <c r="E59" s="12" t="s">
        <v>75</v>
      </c>
      <c r="F59" s="20" t="s">
        <v>458</v>
      </c>
      <c r="G59" s="20" t="s">
        <v>397</v>
      </c>
      <c r="H59" s="20">
        <v>4</v>
      </c>
      <c r="I59" s="20" t="s">
        <v>1461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1526</v>
      </c>
      <c r="D60" s="10" t="s">
        <v>1364</v>
      </c>
      <c r="E60" s="12" t="s">
        <v>77</v>
      </c>
      <c r="F60" s="20" t="s">
        <v>690</v>
      </c>
      <c r="G60" s="20" t="s">
        <v>397</v>
      </c>
      <c r="H60" s="20">
        <v>4</v>
      </c>
      <c r="I60" s="20" t="s">
        <v>1461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1527</v>
      </c>
      <c r="D61" s="10" t="s">
        <v>137</v>
      </c>
      <c r="E61" s="12" t="s">
        <v>77</v>
      </c>
      <c r="F61" s="20" t="s">
        <v>692</v>
      </c>
      <c r="G61" s="20" t="s">
        <v>397</v>
      </c>
      <c r="H61" s="20">
        <v>4</v>
      </c>
      <c r="I61" s="20" t="s">
        <v>1461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1528</v>
      </c>
      <c r="D62" s="10" t="s">
        <v>1529</v>
      </c>
      <c r="E62" s="12" t="s">
        <v>1530</v>
      </c>
      <c r="F62" s="20" t="s">
        <v>720</v>
      </c>
      <c r="G62" s="20" t="s">
        <v>397</v>
      </c>
      <c r="H62" s="20">
        <v>4</v>
      </c>
      <c r="I62" s="20" t="s">
        <v>1461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1531</v>
      </c>
      <c r="D63" s="10" t="s">
        <v>219</v>
      </c>
      <c r="E63" s="12" t="s">
        <v>220</v>
      </c>
      <c r="F63" s="20" t="s">
        <v>52</v>
      </c>
      <c r="G63" s="20" t="s">
        <v>397</v>
      </c>
      <c r="H63" s="20">
        <v>4</v>
      </c>
      <c r="I63" s="20" t="s">
        <v>1461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1532</v>
      </c>
      <c r="D64" s="10" t="s">
        <v>1533</v>
      </c>
      <c r="E64" s="12" t="s">
        <v>147</v>
      </c>
      <c r="F64" s="20" t="s">
        <v>432</v>
      </c>
      <c r="G64" s="20" t="s">
        <v>397</v>
      </c>
      <c r="H64" s="20">
        <v>4</v>
      </c>
      <c r="I64" s="20" t="s">
        <v>1461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1534</v>
      </c>
      <c r="D65" s="10" t="s">
        <v>37</v>
      </c>
      <c r="E65" s="12" t="s">
        <v>147</v>
      </c>
      <c r="F65" s="20" t="s">
        <v>117</v>
      </c>
      <c r="G65" s="20" t="s">
        <v>397</v>
      </c>
      <c r="H65" s="20">
        <v>4</v>
      </c>
      <c r="I65" s="20" t="s">
        <v>1461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1535</v>
      </c>
      <c r="D66" s="10" t="s">
        <v>1536</v>
      </c>
      <c r="E66" s="12" t="s">
        <v>86</v>
      </c>
      <c r="F66" s="20" t="s">
        <v>43</v>
      </c>
      <c r="G66" s="20" t="s">
        <v>397</v>
      </c>
      <c r="H66" s="20">
        <v>4</v>
      </c>
      <c r="I66" s="20" t="s">
        <v>1461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2" t="s">
        <v>1537</v>
      </c>
      <c r="D67" s="10" t="s">
        <v>138</v>
      </c>
      <c r="E67" s="12" t="s">
        <v>93</v>
      </c>
      <c r="F67" s="20" t="s">
        <v>82</v>
      </c>
      <c r="G67" s="20" t="s">
        <v>397</v>
      </c>
      <c r="H67" s="20">
        <v>4</v>
      </c>
      <c r="I67" s="20" t="s">
        <v>1461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si="1"/>
        <v/>
      </c>
    </row>
    <row r="68" spans="2:14" ht="16.5" customHeight="1">
      <c r="B68" s="15">
        <v>59</v>
      </c>
      <c r="C68" s="21" t="s">
        <v>1538</v>
      </c>
      <c r="D68" s="9" t="s">
        <v>1539</v>
      </c>
      <c r="E68" s="11" t="s">
        <v>95</v>
      </c>
      <c r="F68" s="19" t="s">
        <v>701</v>
      </c>
      <c r="G68" s="19" t="s">
        <v>397</v>
      </c>
      <c r="H68" s="19">
        <v>4</v>
      </c>
      <c r="I68" s="19" t="s">
        <v>1461</v>
      </c>
      <c r="J68" s="17" t="s">
        <v>13</v>
      </c>
      <c r="K68" s="17" t="s">
        <v>13</v>
      </c>
      <c r="L68" s="17" t="s">
        <v>13</v>
      </c>
      <c r="M68" s="17" t="s">
        <v>13</v>
      </c>
      <c r="N68" s="14" t="str">
        <f>+IF(OR($J68=0,$K68=0,$L68=0,$M68=0),"Không đủ ĐKDT","")</f>
        <v/>
      </c>
    </row>
    <row r="69" spans="2:14" ht="16.5" customHeight="1">
      <c r="B69" s="15">
        <v>60</v>
      </c>
      <c r="C69" s="22" t="s">
        <v>1540</v>
      </c>
      <c r="D69" s="10" t="s">
        <v>1541</v>
      </c>
      <c r="E69" s="12" t="s">
        <v>152</v>
      </c>
      <c r="F69" s="20" t="s">
        <v>420</v>
      </c>
      <c r="G69" s="20" t="s">
        <v>397</v>
      </c>
      <c r="H69" s="20">
        <v>4</v>
      </c>
      <c r="I69" s="20" t="s">
        <v>1461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>+IF(OR($J69=0,$K69=0,$L69=0,$M69=0),"Không đủ ĐKDT","")</f>
        <v/>
      </c>
    </row>
    <row r="70" spans="2:14" ht="16.5" customHeight="1">
      <c r="B70" s="15">
        <v>61</v>
      </c>
      <c r="C70" s="22" t="s">
        <v>1542</v>
      </c>
      <c r="D70" s="10" t="s">
        <v>32</v>
      </c>
      <c r="E70" s="12" t="s">
        <v>97</v>
      </c>
      <c r="F70" s="20" t="s">
        <v>405</v>
      </c>
      <c r="G70" s="20" t="s">
        <v>397</v>
      </c>
      <c r="H70" s="20">
        <v>4</v>
      </c>
      <c r="I70" s="20" t="s">
        <v>1461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ref="N70:N95" si="2">+IF(OR($J70=0,$K70=0,$L70=0,$M70=0),"Không đủ ĐKDT","")</f>
        <v/>
      </c>
    </row>
    <row r="71" spans="2:14" ht="16.5" customHeight="1">
      <c r="B71" s="15">
        <v>62</v>
      </c>
      <c r="C71" s="22" t="s">
        <v>1543</v>
      </c>
      <c r="D71" s="10" t="s">
        <v>76</v>
      </c>
      <c r="E71" s="12" t="s">
        <v>97</v>
      </c>
      <c r="F71" s="20" t="s">
        <v>52</v>
      </c>
      <c r="G71" s="20" t="s">
        <v>397</v>
      </c>
      <c r="H71" s="20">
        <v>4</v>
      </c>
      <c r="I71" s="20" t="s">
        <v>1461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1544</v>
      </c>
      <c r="D72" s="10" t="s">
        <v>1545</v>
      </c>
      <c r="E72" s="12" t="s">
        <v>97</v>
      </c>
      <c r="F72" s="20" t="s">
        <v>468</v>
      </c>
      <c r="G72" s="20" t="s">
        <v>397</v>
      </c>
      <c r="H72" s="20">
        <v>4</v>
      </c>
      <c r="I72" s="20" t="s">
        <v>1461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1546</v>
      </c>
      <c r="D73" s="10" t="s">
        <v>78</v>
      </c>
      <c r="E73" s="12" t="s">
        <v>97</v>
      </c>
      <c r="F73" s="20" t="s">
        <v>683</v>
      </c>
      <c r="G73" s="20" t="s">
        <v>397</v>
      </c>
      <c r="H73" s="20">
        <v>4</v>
      </c>
      <c r="I73" s="20" t="s">
        <v>1461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1547</v>
      </c>
      <c r="D74" s="10" t="s">
        <v>1548</v>
      </c>
      <c r="E74" s="12" t="s">
        <v>225</v>
      </c>
      <c r="F74" s="20" t="s">
        <v>420</v>
      </c>
      <c r="G74" s="20" t="s">
        <v>397</v>
      </c>
      <c r="H74" s="20">
        <v>4</v>
      </c>
      <c r="I74" s="20" t="s">
        <v>1461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1549</v>
      </c>
      <c r="D75" s="10" t="s">
        <v>1550</v>
      </c>
      <c r="E75" s="12" t="s">
        <v>225</v>
      </c>
      <c r="F75" s="20" t="s">
        <v>405</v>
      </c>
      <c r="G75" s="20" t="s">
        <v>397</v>
      </c>
      <c r="H75" s="20">
        <v>4</v>
      </c>
      <c r="I75" s="20" t="s">
        <v>1461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1551</v>
      </c>
      <c r="D76" s="10" t="s">
        <v>133</v>
      </c>
      <c r="E76" s="12" t="s">
        <v>106</v>
      </c>
      <c r="F76" s="20" t="s">
        <v>701</v>
      </c>
      <c r="G76" s="20" t="s">
        <v>397</v>
      </c>
      <c r="H76" s="20">
        <v>4</v>
      </c>
      <c r="I76" s="20" t="s">
        <v>1461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1552</v>
      </c>
      <c r="D77" s="10" t="s">
        <v>37</v>
      </c>
      <c r="E77" s="12" t="s">
        <v>156</v>
      </c>
      <c r="F77" s="20" t="s">
        <v>420</v>
      </c>
      <c r="G77" s="20" t="s">
        <v>397</v>
      </c>
      <c r="H77" s="20">
        <v>4</v>
      </c>
      <c r="I77" s="20" t="s">
        <v>1461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1553</v>
      </c>
      <c r="D78" s="10" t="s">
        <v>547</v>
      </c>
      <c r="E78" s="12" t="s">
        <v>156</v>
      </c>
      <c r="F78" s="20" t="s">
        <v>412</v>
      </c>
      <c r="G78" s="20" t="s">
        <v>397</v>
      </c>
      <c r="H78" s="20">
        <v>4</v>
      </c>
      <c r="I78" s="20" t="s">
        <v>1461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1554</v>
      </c>
      <c r="D79" s="10" t="s">
        <v>606</v>
      </c>
      <c r="E79" s="12" t="s">
        <v>162</v>
      </c>
      <c r="F79" s="20" t="s">
        <v>444</v>
      </c>
      <c r="G79" s="20" t="s">
        <v>397</v>
      </c>
      <c r="H79" s="20">
        <v>4</v>
      </c>
      <c r="I79" s="20" t="s">
        <v>1461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1555</v>
      </c>
      <c r="D80" s="10" t="s">
        <v>1556</v>
      </c>
      <c r="E80" s="12" t="s">
        <v>229</v>
      </c>
      <c r="F80" s="20" t="s">
        <v>694</v>
      </c>
      <c r="G80" s="20" t="s">
        <v>397</v>
      </c>
      <c r="H80" s="20">
        <v>4</v>
      </c>
      <c r="I80" s="20" t="s">
        <v>1461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1557</v>
      </c>
      <c r="D81" s="10" t="s">
        <v>32</v>
      </c>
      <c r="E81" s="12" t="s">
        <v>263</v>
      </c>
      <c r="F81" s="20" t="s">
        <v>690</v>
      </c>
      <c r="G81" s="20" t="s">
        <v>397</v>
      </c>
      <c r="H81" s="20">
        <v>4</v>
      </c>
      <c r="I81" s="20" t="s">
        <v>1461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1558</v>
      </c>
      <c r="D82" s="10" t="s">
        <v>177</v>
      </c>
      <c r="E82" s="12" t="s">
        <v>263</v>
      </c>
      <c r="F82" s="20" t="s">
        <v>756</v>
      </c>
      <c r="G82" s="20" t="s">
        <v>397</v>
      </c>
      <c r="H82" s="20">
        <v>4</v>
      </c>
      <c r="I82" s="20" t="s">
        <v>1461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1559</v>
      </c>
      <c r="D83" s="10" t="s">
        <v>489</v>
      </c>
      <c r="E83" s="12" t="s">
        <v>263</v>
      </c>
      <c r="F83" s="20" t="s">
        <v>694</v>
      </c>
      <c r="G83" s="20" t="s">
        <v>397</v>
      </c>
      <c r="H83" s="20">
        <v>4</v>
      </c>
      <c r="I83" s="20" t="s">
        <v>1461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1560</v>
      </c>
      <c r="D84" s="10" t="s">
        <v>575</v>
      </c>
      <c r="E84" s="12" t="s">
        <v>120</v>
      </c>
      <c r="F84" s="20" t="s">
        <v>420</v>
      </c>
      <c r="G84" s="20" t="s">
        <v>397</v>
      </c>
      <c r="H84" s="20">
        <v>4</v>
      </c>
      <c r="I84" s="20" t="s">
        <v>1461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1561</v>
      </c>
      <c r="D85" s="10" t="s">
        <v>191</v>
      </c>
      <c r="E85" s="12" t="s">
        <v>120</v>
      </c>
      <c r="F85" s="20" t="s">
        <v>756</v>
      </c>
      <c r="G85" s="20" t="s">
        <v>397</v>
      </c>
      <c r="H85" s="20">
        <v>4</v>
      </c>
      <c r="I85" s="20" t="s">
        <v>1461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1562</v>
      </c>
      <c r="D86" s="10" t="s">
        <v>182</v>
      </c>
      <c r="E86" s="12" t="s">
        <v>128</v>
      </c>
      <c r="F86" s="20" t="s">
        <v>692</v>
      </c>
      <c r="G86" s="20" t="s">
        <v>397</v>
      </c>
      <c r="H86" s="20">
        <v>4</v>
      </c>
      <c r="I86" s="20" t="s">
        <v>1461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1563</v>
      </c>
      <c r="D87" s="10" t="s">
        <v>938</v>
      </c>
      <c r="E87" s="12" t="s">
        <v>128</v>
      </c>
      <c r="F87" s="20" t="s">
        <v>38</v>
      </c>
      <c r="G87" s="20" t="s">
        <v>397</v>
      </c>
      <c r="H87" s="20">
        <v>4</v>
      </c>
      <c r="I87" s="20" t="s">
        <v>1461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1564</v>
      </c>
      <c r="D88" s="10" t="s">
        <v>1565</v>
      </c>
      <c r="E88" s="12" t="s">
        <v>1201</v>
      </c>
      <c r="F88" s="20" t="s">
        <v>40</v>
      </c>
      <c r="G88" s="20" t="s">
        <v>397</v>
      </c>
      <c r="H88" s="20">
        <v>4</v>
      </c>
      <c r="I88" s="20" t="s">
        <v>1461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1566</v>
      </c>
      <c r="D89" s="10" t="s">
        <v>90</v>
      </c>
      <c r="E89" s="12" t="s">
        <v>203</v>
      </c>
      <c r="F89" s="20" t="s">
        <v>420</v>
      </c>
      <c r="G89" s="20" t="s">
        <v>397</v>
      </c>
      <c r="H89" s="20">
        <v>4</v>
      </c>
      <c r="I89" s="20" t="s">
        <v>1461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1567</v>
      </c>
      <c r="D90" s="10" t="s">
        <v>90</v>
      </c>
      <c r="E90" s="12" t="s">
        <v>203</v>
      </c>
      <c r="F90" s="20" t="s">
        <v>756</v>
      </c>
      <c r="G90" s="20" t="s">
        <v>397</v>
      </c>
      <c r="H90" s="20">
        <v>4</v>
      </c>
      <c r="I90" s="20" t="s">
        <v>1461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1568</v>
      </c>
      <c r="D91" s="10" t="s">
        <v>76</v>
      </c>
      <c r="E91" s="12" t="s">
        <v>203</v>
      </c>
      <c r="F91" s="20" t="s">
        <v>675</v>
      </c>
      <c r="G91" s="20" t="s">
        <v>397</v>
      </c>
      <c r="H91" s="20">
        <v>4</v>
      </c>
      <c r="I91" s="20" t="s">
        <v>1461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1569</v>
      </c>
      <c r="D92" s="10" t="s">
        <v>1570</v>
      </c>
      <c r="E92" s="12" t="s">
        <v>286</v>
      </c>
      <c r="F92" s="20" t="s">
        <v>696</v>
      </c>
      <c r="G92" s="20" t="s">
        <v>397</v>
      </c>
      <c r="H92" s="20">
        <v>4</v>
      </c>
      <c r="I92" s="20" t="s">
        <v>1461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1571</v>
      </c>
      <c r="D93" s="10" t="s">
        <v>170</v>
      </c>
      <c r="E93" s="12" t="s">
        <v>171</v>
      </c>
      <c r="F93" s="20" t="s">
        <v>432</v>
      </c>
      <c r="G93" s="20" t="s">
        <v>397</v>
      </c>
      <c r="H93" s="20">
        <v>4</v>
      </c>
      <c r="I93" s="20" t="s">
        <v>1461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1572</v>
      </c>
      <c r="D94" s="10" t="s">
        <v>177</v>
      </c>
      <c r="E94" s="12" t="s">
        <v>171</v>
      </c>
      <c r="F94" s="20" t="s">
        <v>690</v>
      </c>
      <c r="G94" s="20" t="s">
        <v>397</v>
      </c>
      <c r="H94" s="20">
        <v>4</v>
      </c>
      <c r="I94" s="20" t="s">
        <v>1461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6.5" customHeight="1">
      <c r="B95" s="15">
        <v>86</v>
      </c>
      <c r="C95" s="22" t="s">
        <v>1573</v>
      </c>
      <c r="D95" s="10" t="s">
        <v>1574</v>
      </c>
      <c r="E95" s="12" t="s">
        <v>173</v>
      </c>
      <c r="F95" s="20" t="s">
        <v>432</v>
      </c>
      <c r="G95" s="20" t="s">
        <v>397</v>
      </c>
      <c r="H95" s="20">
        <v>4</v>
      </c>
      <c r="I95" s="20" t="s">
        <v>1461</v>
      </c>
      <c r="J95" s="18" t="s">
        <v>13</v>
      </c>
      <c r="K95" s="18" t="s">
        <v>13</v>
      </c>
      <c r="L95" s="18" t="s">
        <v>13</v>
      </c>
      <c r="M95" s="18" t="s">
        <v>13</v>
      </c>
      <c r="N95" s="16" t="str">
        <f t="shared" si="2"/>
        <v/>
      </c>
    </row>
    <row r="96" spans="2:14" ht="19.5" customHeight="1">
      <c r="B96" s="64" t="s">
        <v>20</v>
      </c>
      <c r="C96" s="64"/>
      <c r="D96" s="64"/>
      <c r="E96" s="64"/>
    </row>
    <row r="97" spans="2:14" ht="19.5" customHeight="1">
      <c r="B97" s="55" t="str">
        <f>"Điểm chuyên cần: " &amp; $J$9 &amp; "% "</f>
        <v xml:space="preserve">Điểm chuyên cần: % </v>
      </c>
      <c r="C97" s="55"/>
      <c r="D97" s="55"/>
      <c r="E97" s="55"/>
    </row>
    <row r="98" spans="2:14" ht="19.5" customHeight="1">
      <c r="B98" s="55" t="str">
        <f>"Điểm trung bình kiểm tra: "&amp;$K$9&amp;"%"</f>
        <v>Điểm trung bình kiểm tra: %</v>
      </c>
      <c r="C98" s="55"/>
      <c r="D98" s="55"/>
      <c r="E98" s="55"/>
    </row>
    <row r="99" spans="2:14" ht="19.5" customHeight="1">
      <c r="B99" s="55" t="str">
        <f>"Điểm thí nghiệm, thực hành: "&amp;$L$9&amp;"%"</f>
        <v>Điểm thí nghiệm, thực hành: %</v>
      </c>
      <c r="C99" s="55"/>
      <c r="D99" s="55"/>
      <c r="E99" s="55"/>
    </row>
    <row r="100" spans="2:14" ht="19.5" customHeight="1">
      <c r="B100" s="55" t="str">
        <f>"Điểm bài tập tiểu luận, seminar: "&amp;$M$9&amp;"%"</f>
        <v>Điểm bài tập tiểu luận, seminar: %</v>
      </c>
      <c r="C100" s="55"/>
      <c r="D100" s="55"/>
      <c r="E100" s="55"/>
    </row>
    <row r="101" spans="2:14">
      <c r="J101" s="56" t="s">
        <v>21</v>
      </c>
      <c r="K101" s="56"/>
      <c r="L101" s="56"/>
      <c r="M101" s="56"/>
      <c r="N101" s="56"/>
    </row>
    <row r="102" spans="2:14" ht="32.25" customHeight="1">
      <c r="B102" s="57" t="s">
        <v>17</v>
      </c>
      <c r="C102" s="57"/>
      <c r="D102" s="57"/>
      <c r="E102" s="57"/>
      <c r="F102" s="28"/>
      <c r="G102" s="28"/>
      <c r="H102" s="28"/>
      <c r="I102" s="28"/>
      <c r="J102" s="57" t="s">
        <v>18</v>
      </c>
      <c r="K102" s="57"/>
      <c r="L102" s="57"/>
      <c r="M102" s="57"/>
      <c r="N102" s="57"/>
    </row>
    <row r="108" spans="2:14">
      <c r="J108" s="58"/>
      <c r="K108" s="58"/>
      <c r="L108" s="58"/>
      <c r="M108" s="58"/>
      <c r="N108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9:E99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6:E96"/>
    <mergeCell ref="B97:E97"/>
    <mergeCell ref="B98:E98"/>
    <mergeCell ref="L7:L8"/>
    <mergeCell ref="M7:M8"/>
    <mergeCell ref="B100:E100"/>
    <mergeCell ref="J101:N101"/>
    <mergeCell ref="B102:E102"/>
    <mergeCell ref="J102:N102"/>
    <mergeCell ref="J108:N108"/>
  </mergeCells>
  <conditionalFormatting sqref="J10:M10">
    <cfRule type="cellIs" dxfId="297" priority="55" stopIfTrue="1" operator="greaterThan">
      <formula>10</formula>
    </cfRule>
    <cfRule type="cellIs" dxfId="296" priority="56" stopIfTrue="1" operator="greaterThan">
      <formula>10</formula>
    </cfRule>
    <cfRule type="cellIs" dxfId="295" priority="57" stopIfTrue="1" operator="greaterThan">
      <formula>10</formula>
    </cfRule>
    <cfRule type="cellIs" dxfId="294" priority="58" stopIfTrue="1" operator="greaterThan">
      <formula>10</formula>
    </cfRule>
  </conditionalFormatting>
  <conditionalFormatting sqref="J11:M13">
    <cfRule type="cellIs" dxfId="293" priority="51" stopIfTrue="1" operator="greaterThan">
      <formula>10</formula>
    </cfRule>
    <cfRule type="cellIs" dxfId="292" priority="52" stopIfTrue="1" operator="greaterThan">
      <formula>10</formula>
    </cfRule>
    <cfRule type="cellIs" dxfId="291" priority="53" stopIfTrue="1" operator="greaterThan">
      <formula>10</formula>
    </cfRule>
    <cfRule type="cellIs" dxfId="290" priority="54" stopIfTrue="1" operator="greaterThan">
      <formula>10</formula>
    </cfRule>
  </conditionalFormatting>
  <conditionalFormatting sqref="J14:M15 J23:M38">
    <cfRule type="cellIs" dxfId="289" priority="47" stopIfTrue="1" operator="greaterThan">
      <formula>10</formula>
    </cfRule>
    <cfRule type="cellIs" dxfId="288" priority="48" stopIfTrue="1" operator="greaterThan">
      <formula>10</formula>
    </cfRule>
    <cfRule type="cellIs" dxfId="287" priority="49" stopIfTrue="1" operator="greaterThan">
      <formula>10</formula>
    </cfRule>
    <cfRule type="cellIs" dxfId="286" priority="50" stopIfTrue="1" operator="greaterThan">
      <formula>10</formula>
    </cfRule>
  </conditionalFormatting>
  <conditionalFormatting sqref="J16:M22">
    <cfRule type="cellIs" dxfId="285" priority="41" stopIfTrue="1" operator="greaterThan">
      <formula>10</formula>
    </cfRule>
    <cfRule type="cellIs" dxfId="284" priority="42" stopIfTrue="1" operator="greaterThan">
      <formula>10</formula>
    </cfRule>
    <cfRule type="cellIs" dxfId="283" priority="43" stopIfTrue="1" operator="greaterThan">
      <formula>10</formula>
    </cfRule>
    <cfRule type="cellIs" dxfId="282" priority="44" stopIfTrue="1" operator="greaterThan">
      <formula>10</formula>
    </cfRule>
  </conditionalFormatting>
  <conditionalFormatting sqref="C16:C22">
    <cfRule type="duplicateValues" dxfId="281" priority="45" stopIfTrue="1"/>
    <cfRule type="duplicateValues" dxfId="280" priority="46" stopIfTrue="1"/>
  </conditionalFormatting>
  <conditionalFormatting sqref="C10:C15 C23:C38">
    <cfRule type="duplicateValues" dxfId="279" priority="227" stopIfTrue="1"/>
    <cfRule type="duplicateValues" dxfId="278" priority="228" stopIfTrue="1"/>
  </conditionalFormatting>
  <conditionalFormatting sqref="J39:M39">
    <cfRule type="cellIs" dxfId="277" priority="35" stopIfTrue="1" operator="greaterThan">
      <formula>10</formula>
    </cfRule>
    <cfRule type="cellIs" dxfId="276" priority="36" stopIfTrue="1" operator="greaterThan">
      <formula>10</formula>
    </cfRule>
    <cfRule type="cellIs" dxfId="275" priority="37" stopIfTrue="1" operator="greaterThan">
      <formula>10</formula>
    </cfRule>
    <cfRule type="cellIs" dxfId="274" priority="38" stopIfTrue="1" operator="greaterThan">
      <formula>10</formula>
    </cfRule>
  </conditionalFormatting>
  <conditionalFormatting sqref="J40:M42">
    <cfRule type="cellIs" dxfId="273" priority="31" stopIfTrue="1" operator="greaterThan">
      <formula>10</formula>
    </cfRule>
    <cfRule type="cellIs" dxfId="272" priority="32" stopIfTrue="1" operator="greaterThan">
      <formula>10</formula>
    </cfRule>
    <cfRule type="cellIs" dxfId="271" priority="33" stopIfTrue="1" operator="greaterThan">
      <formula>10</formula>
    </cfRule>
    <cfRule type="cellIs" dxfId="270" priority="34" stopIfTrue="1" operator="greaterThan">
      <formula>10</formula>
    </cfRule>
  </conditionalFormatting>
  <conditionalFormatting sqref="J43:M44 J52:M67">
    <cfRule type="cellIs" dxfId="269" priority="27" stopIfTrue="1" operator="greaterThan">
      <formula>10</formula>
    </cfRule>
    <cfRule type="cellIs" dxfId="268" priority="28" stopIfTrue="1" operator="greaterThan">
      <formula>10</formula>
    </cfRule>
    <cfRule type="cellIs" dxfId="267" priority="29" stopIfTrue="1" operator="greaterThan">
      <formula>10</formula>
    </cfRule>
    <cfRule type="cellIs" dxfId="266" priority="30" stopIfTrue="1" operator="greaterThan">
      <formula>10</formula>
    </cfRule>
  </conditionalFormatting>
  <conditionalFormatting sqref="J45:M51">
    <cfRule type="cellIs" dxfId="265" priority="21" stopIfTrue="1" operator="greaterThan">
      <formula>10</formula>
    </cfRule>
    <cfRule type="cellIs" dxfId="264" priority="22" stopIfTrue="1" operator="greaterThan">
      <formula>10</formula>
    </cfRule>
    <cfRule type="cellIs" dxfId="263" priority="23" stopIfTrue="1" operator="greaterThan">
      <formula>10</formula>
    </cfRule>
    <cfRule type="cellIs" dxfId="262" priority="24" stopIfTrue="1" operator="greaterThan">
      <formula>10</formula>
    </cfRule>
  </conditionalFormatting>
  <conditionalFormatting sqref="C45:C51">
    <cfRule type="duplicateValues" dxfId="261" priority="25" stopIfTrue="1"/>
    <cfRule type="duplicateValues" dxfId="260" priority="26" stopIfTrue="1"/>
  </conditionalFormatting>
  <conditionalFormatting sqref="C39:C44 C52:C67">
    <cfRule type="duplicateValues" dxfId="259" priority="39" stopIfTrue="1"/>
    <cfRule type="duplicateValues" dxfId="258" priority="40" stopIfTrue="1"/>
  </conditionalFormatting>
  <conditionalFormatting sqref="J68:M68">
    <cfRule type="cellIs" dxfId="257" priority="15" stopIfTrue="1" operator="greaterThan">
      <formula>10</formula>
    </cfRule>
    <cfRule type="cellIs" dxfId="256" priority="16" stopIfTrue="1" operator="greaterThan">
      <formula>10</formula>
    </cfRule>
    <cfRule type="cellIs" dxfId="255" priority="17" stopIfTrue="1" operator="greaterThan">
      <formula>10</formula>
    </cfRule>
    <cfRule type="cellIs" dxfId="254" priority="18" stopIfTrue="1" operator="greaterThan">
      <formula>10</formula>
    </cfRule>
  </conditionalFormatting>
  <conditionalFormatting sqref="J69:M71">
    <cfRule type="cellIs" dxfId="253" priority="11" stopIfTrue="1" operator="greaterThan">
      <formula>10</formula>
    </cfRule>
    <cfRule type="cellIs" dxfId="252" priority="12" stopIfTrue="1" operator="greaterThan">
      <formula>10</formula>
    </cfRule>
    <cfRule type="cellIs" dxfId="251" priority="13" stopIfTrue="1" operator="greaterThan">
      <formula>10</formula>
    </cfRule>
    <cfRule type="cellIs" dxfId="250" priority="14" stopIfTrue="1" operator="greaterThan">
      <formula>10</formula>
    </cfRule>
  </conditionalFormatting>
  <conditionalFormatting sqref="J72:M73 J81:M95">
    <cfRule type="cellIs" dxfId="249" priority="7" stopIfTrue="1" operator="greaterThan">
      <formula>10</formula>
    </cfRule>
    <cfRule type="cellIs" dxfId="248" priority="8" stopIfTrue="1" operator="greaterThan">
      <formula>10</formula>
    </cfRule>
    <cfRule type="cellIs" dxfId="247" priority="9" stopIfTrue="1" operator="greaterThan">
      <formula>10</formula>
    </cfRule>
    <cfRule type="cellIs" dxfId="246" priority="10" stopIfTrue="1" operator="greaterThan">
      <formula>10</formula>
    </cfRule>
  </conditionalFormatting>
  <conditionalFormatting sqref="J74:M80">
    <cfRule type="cellIs" dxfId="245" priority="1" stopIfTrue="1" operator="greaterThan">
      <formula>10</formula>
    </cfRule>
    <cfRule type="cellIs" dxfId="244" priority="2" stopIfTrue="1" operator="greaterThan">
      <formula>10</formula>
    </cfRule>
    <cfRule type="cellIs" dxfId="243" priority="3" stopIfTrue="1" operator="greaterThan">
      <formula>10</formula>
    </cfRule>
    <cfRule type="cellIs" dxfId="242" priority="4" stopIfTrue="1" operator="greaterThan">
      <formula>10</formula>
    </cfRule>
  </conditionalFormatting>
  <conditionalFormatting sqref="C74:C80">
    <cfRule type="duplicateValues" dxfId="241" priority="5" stopIfTrue="1"/>
    <cfRule type="duplicateValues" dxfId="240" priority="6" stopIfTrue="1"/>
  </conditionalFormatting>
  <conditionalFormatting sqref="C68:C73 C81:C95">
    <cfRule type="duplicateValues" dxfId="239" priority="19" stopIfTrue="1"/>
    <cfRule type="duplicateValues" dxfId="238" priority="20" stopIfTrue="1"/>
  </conditionalFormatting>
  <dataValidations count="1">
    <dataValidation type="decimal" allowBlank="1" showInputMessage="1" showErrorMessage="1" error="Sai định dạng" sqref="J10:M95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B1:N108"/>
  <sheetViews>
    <sheetView topLeftCell="A82" workbookViewId="0">
      <selection activeCell="B32" sqref="B32:B95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8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BAS1224_03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9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1335</v>
      </c>
      <c r="D10" s="9" t="s">
        <v>1336</v>
      </c>
      <c r="E10" s="11" t="s">
        <v>27</v>
      </c>
      <c r="F10" s="19" t="s">
        <v>687</v>
      </c>
      <c r="G10" s="19" t="s">
        <v>397</v>
      </c>
      <c r="H10" s="19">
        <v>4</v>
      </c>
      <c r="I10" s="19" t="s">
        <v>1337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1338</v>
      </c>
      <c r="D11" s="10" t="s">
        <v>1339</v>
      </c>
      <c r="E11" s="12" t="s">
        <v>27</v>
      </c>
      <c r="F11" s="20" t="s">
        <v>30</v>
      </c>
      <c r="G11" s="20" t="s">
        <v>397</v>
      </c>
      <c r="H11" s="20">
        <v>4</v>
      </c>
      <c r="I11" s="20" t="s">
        <v>1337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1340</v>
      </c>
      <c r="D12" s="10" t="s">
        <v>175</v>
      </c>
      <c r="E12" s="12" t="s">
        <v>27</v>
      </c>
      <c r="F12" s="20" t="s">
        <v>701</v>
      </c>
      <c r="G12" s="20" t="s">
        <v>397</v>
      </c>
      <c r="H12" s="20">
        <v>4</v>
      </c>
      <c r="I12" s="20" t="s">
        <v>1337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1341</v>
      </c>
      <c r="D13" s="10" t="s">
        <v>170</v>
      </c>
      <c r="E13" s="12" t="s">
        <v>957</v>
      </c>
      <c r="F13" s="20" t="s">
        <v>687</v>
      </c>
      <c r="G13" s="20" t="s">
        <v>397</v>
      </c>
      <c r="H13" s="20">
        <v>4</v>
      </c>
      <c r="I13" s="20" t="s">
        <v>1337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1342</v>
      </c>
      <c r="D14" s="10" t="s">
        <v>177</v>
      </c>
      <c r="E14" s="12" t="s">
        <v>31</v>
      </c>
      <c r="F14" s="20" t="s">
        <v>82</v>
      </c>
      <c r="G14" s="20" t="s">
        <v>397</v>
      </c>
      <c r="H14" s="20">
        <v>4</v>
      </c>
      <c r="I14" s="20" t="s">
        <v>1337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1343</v>
      </c>
      <c r="D15" s="10" t="s">
        <v>139</v>
      </c>
      <c r="E15" s="12" t="s">
        <v>246</v>
      </c>
      <c r="F15" s="20" t="s">
        <v>396</v>
      </c>
      <c r="G15" s="20" t="s">
        <v>397</v>
      </c>
      <c r="H15" s="20">
        <v>4</v>
      </c>
      <c r="I15" s="20" t="s">
        <v>1337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1344</v>
      </c>
      <c r="D16" s="10" t="s">
        <v>197</v>
      </c>
      <c r="E16" s="12" t="s">
        <v>180</v>
      </c>
      <c r="F16" s="20" t="s">
        <v>38</v>
      </c>
      <c r="G16" s="20" t="s">
        <v>397</v>
      </c>
      <c r="H16" s="20">
        <v>4</v>
      </c>
      <c r="I16" s="20" t="s">
        <v>1337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1345</v>
      </c>
      <c r="D17" s="10" t="s">
        <v>76</v>
      </c>
      <c r="E17" s="12" t="s">
        <v>970</v>
      </c>
      <c r="F17" s="20" t="s">
        <v>396</v>
      </c>
      <c r="G17" s="20" t="s">
        <v>397</v>
      </c>
      <c r="H17" s="20">
        <v>4</v>
      </c>
      <c r="I17" s="20" t="s">
        <v>1337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1346</v>
      </c>
      <c r="D18" s="10" t="s">
        <v>184</v>
      </c>
      <c r="E18" s="12" t="s">
        <v>36</v>
      </c>
      <c r="F18" s="20" t="s">
        <v>450</v>
      </c>
      <c r="G18" s="20" t="s">
        <v>397</v>
      </c>
      <c r="H18" s="20">
        <v>4</v>
      </c>
      <c r="I18" s="20" t="s">
        <v>1337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1347</v>
      </c>
      <c r="D19" s="10" t="s">
        <v>68</v>
      </c>
      <c r="E19" s="12" t="s">
        <v>36</v>
      </c>
      <c r="F19" s="20" t="s">
        <v>687</v>
      </c>
      <c r="G19" s="20" t="s">
        <v>397</v>
      </c>
      <c r="H19" s="20">
        <v>4</v>
      </c>
      <c r="I19" s="20" t="s">
        <v>1337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1348</v>
      </c>
      <c r="D20" s="10" t="s">
        <v>254</v>
      </c>
      <c r="E20" s="12" t="s">
        <v>135</v>
      </c>
      <c r="F20" s="20" t="s">
        <v>117</v>
      </c>
      <c r="G20" s="20" t="s">
        <v>397</v>
      </c>
      <c r="H20" s="20">
        <v>4</v>
      </c>
      <c r="I20" s="20" t="s">
        <v>1337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1349</v>
      </c>
      <c r="D21" s="10" t="s">
        <v>174</v>
      </c>
      <c r="E21" s="12" t="s">
        <v>136</v>
      </c>
      <c r="F21" s="20" t="s">
        <v>1350</v>
      </c>
      <c r="G21" s="20" t="s">
        <v>397</v>
      </c>
      <c r="H21" s="20">
        <v>4</v>
      </c>
      <c r="I21" s="20" t="s">
        <v>1337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1351</v>
      </c>
      <c r="D22" s="10" t="s">
        <v>315</v>
      </c>
      <c r="E22" s="12" t="s">
        <v>136</v>
      </c>
      <c r="F22" s="20" t="s">
        <v>701</v>
      </c>
      <c r="G22" s="20" t="s">
        <v>397</v>
      </c>
      <c r="H22" s="20">
        <v>4</v>
      </c>
      <c r="I22" s="20" t="s">
        <v>1337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1352</v>
      </c>
      <c r="D23" s="10" t="s">
        <v>68</v>
      </c>
      <c r="E23" s="12" t="s">
        <v>232</v>
      </c>
      <c r="F23" s="20" t="s">
        <v>414</v>
      </c>
      <c r="G23" s="20" t="s">
        <v>397</v>
      </c>
      <c r="H23" s="20">
        <v>4</v>
      </c>
      <c r="I23" s="20" t="s">
        <v>1337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1353</v>
      </c>
      <c r="D24" s="10" t="s">
        <v>177</v>
      </c>
      <c r="E24" s="12" t="s">
        <v>39</v>
      </c>
      <c r="F24" s="20" t="s">
        <v>450</v>
      </c>
      <c r="G24" s="20" t="s">
        <v>397</v>
      </c>
      <c r="H24" s="20">
        <v>4</v>
      </c>
      <c r="I24" s="20" t="s">
        <v>1337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1354</v>
      </c>
      <c r="D25" s="10" t="s">
        <v>137</v>
      </c>
      <c r="E25" s="12" t="s">
        <v>39</v>
      </c>
      <c r="F25" s="20" t="s">
        <v>432</v>
      </c>
      <c r="G25" s="20" t="s">
        <v>397</v>
      </c>
      <c r="H25" s="20">
        <v>4</v>
      </c>
      <c r="I25" s="20" t="s">
        <v>1337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1355</v>
      </c>
      <c r="D26" s="10" t="s">
        <v>55</v>
      </c>
      <c r="E26" s="12" t="s">
        <v>331</v>
      </c>
      <c r="F26" s="20" t="s">
        <v>696</v>
      </c>
      <c r="G26" s="20" t="s">
        <v>397</v>
      </c>
      <c r="H26" s="20">
        <v>4</v>
      </c>
      <c r="I26" s="20" t="s">
        <v>1337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1356</v>
      </c>
      <c r="D27" s="10" t="s">
        <v>174</v>
      </c>
      <c r="E27" s="12" t="s">
        <v>44</v>
      </c>
      <c r="F27" s="20" t="s">
        <v>1357</v>
      </c>
      <c r="G27" s="20" t="s">
        <v>397</v>
      </c>
      <c r="H27" s="20">
        <v>4</v>
      </c>
      <c r="I27" s="20" t="s">
        <v>1337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1358</v>
      </c>
      <c r="D28" s="10" t="s">
        <v>68</v>
      </c>
      <c r="E28" s="12" t="s">
        <v>212</v>
      </c>
      <c r="F28" s="20" t="s">
        <v>756</v>
      </c>
      <c r="G28" s="20" t="s">
        <v>397</v>
      </c>
      <c r="H28" s="20">
        <v>4</v>
      </c>
      <c r="I28" s="20" t="s">
        <v>1337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1359</v>
      </c>
      <c r="D29" s="10" t="s">
        <v>1360</v>
      </c>
      <c r="E29" s="12" t="s">
        <v>212</v>
      </c>
      <c r="F29" s="20" t="s">
        <v>450</v>
      </c>
      <c r="G29" s="20" t="s">
        <v>397</v>
      </c>
      <c r="H29" s="20">
        <v>4</v>
      </c>
      <c r="I29" s="20" t="s">
        <v>1337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1361</v>
      </c>
      <c r="D30" s="10" t="s">
        <v>338</v>
      </c>
      <c r="E30" s="12" t="s">
        <v>188</v>
      </c>
      <c r="F30" s="20" t="s">
        <v>675</v>
      </c>
      <c r="G30" s="20" t="s">
        <v>397</v>
      </c>
      <c r="H30" s="20">
        <v>4</v>
      </c>
      <c r="I30" s="20" t="s">
        <v>1337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1362</v>
      </c>
      <c r="D31" s="10" t="s">
        <v>208</v>
      </c>
      <c r="E31" s="12" t="s">
        <v>46</v>
      </c>
      <c r="F31" s="20" t="s">
        <v>82</v>
      </c>
      <c r="G31" s="20" t="s">
        <v>397</v>
      </c>
      <c r="H31" s="20">
        <v>4</v>
      </c>
      <c r="I31" s="20" t="s">
        <v>1337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1363</v>
      </c>
      <c r="D32" s="10" t="s">
        <v>1364</v>
      </c>
      <c r="E32" s="12" t="s">
        <v>46</v>
      </c>
      <c r="F32" s="20" t="s">
        <v>690</v>
      </c>
      <c r="G32" s="20" t="s">
        <v>397</v>
      </c>
      <c r="H32" s="20">
        <v>4</v>
      </c>
      <c r="I32" s="20" t="s">
        <v>1337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1365</v>
      </c>
      <c r="D33" s="10" t="s">
        <v>76</v>
      </c>
      <c r="E33" s="12" t="s">
        <v>46</v>
      </c>
      <c r="F33" s="20" t="s">
        <v>756</v>
      </c>
      <c r="G33" s="20" t="s">
        <v>397</v>
      </c>
      <c r="H33" s="20">
        <v>4</v>
      </c>
      <c r="I33" s="20" t="s">
        <v>1337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1366</v>
      </c>
      <c r="D34" s="10" t="s">
        <v>1367</v>
      </c>
      <c r="E34" s="12" t="s">
        <v>46</v>
      </c>
      <c r="F34" s="20" t="s">
        <v>675</v>
      </c>
      <c r="G34" s="20" t="s">
        <v>397</v>
      </c>
      <c r="H34" s="20">
        <v>4</v>
      </c>
      <c r="I34" s="20" t="s">
        <v>1337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1368</v>
      </c>
      <c r="D35" s="10" t="s">
        <v>1369</v>
      </c>
      <c r="E35" s="12" t="s">
        <v>269</v>
      </c>
      <c r="F35" s="20" t="s">
        <v>43</v>
      </c>
      <c r="G35" s="20" t="s">
        <v>397</v>
      </c>
      <c r="H35" s="20">
        <v>4</v>
      </c>
      <c r="I35" s="20" t="s">
        <v>1337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1370</v>
      </c>
      <c r="D36" s="10" t="s">
        <v>373</v>
      </c>
      <c r="E36" s="12" t="s">
        <v>49</v>
      </c>
      <c r="F36" s="20" t="s">
        <v>412</v>
      </c>
      <c r="G36" s="20" t="s">
        <v>397</v>
      </c>
      <c r="H36" s="20">
        <v>4</v>
      </c>
      <c r="I36" s="20" t="s">
        <v>1337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1371</v>
      </c>
      <c r="D37" s="10" t="s">
        <v>1372</v>
      </c>
      <c r="E37" s="12" t="s">
        <v>49</v>
      </c>
      <c r="F37" s="20" t="s">
        <v>694</v>
      </c>
      <c r="G37" s="20" t="s">
        <v>397</v>
      </c>
      <c r="H37" s="20">
        <v>4</v>
      </c>
      <c r="I37" s="20" t="s">
        <v>1337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1373</v>
      </c>
      <c r="D38" s="10" t="s">
        <v>967</v>
      </c>
      <c r="E38" s="12" t="s">
        <v>341</v>
      </c>
      <c r="F38" s="20" t="s">
        <v>450</v>
      </c>
      <c r="G38" s="20" t="s">
        <v>397</v>
      </c>
      <c r="H38" s="20">
        <v>4</v>
      </c>
      <c r="I38" s="20" t="s">
        <v>1337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1374</v>
      </c>
      <c r="D39" s="9" t="s">
        <v>1375</v>
      </c>
      <c r="E39" s="11" t="s">
        <v>53</v>
      </c>
      <c r="F39" s="19" t="s">
        <v>117</v>
      </c>
      <c r="G39" s="19" t="s">
        <v>397</v>
      </c>
      <c r="H39" s="19">
        <v>4</v>
      </c>
      <c r="I39" s="19" t="s">
        <v>1337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1376</v>
      </c>
      <c r="D40" s="10" t="s">
        <v>1377</v>
      </c>
      <c r="E40" s="12" t="s">
        <v>1378</v>
      </c>
      <c r="F40" s="20" t="s">
        <v>692</v>
      </c>
      <c r="G40" s="20" t="s">
        <v>397</v>
      </c>
      <c r="H40" s="20">
        <v>4</v>
      </c>
      <c r="I40" s="20" t="s">
        <v>1337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1379</v>
      </c>
      <c r="D41" s="10" t="s">
        <v>182</v>
      </c>
      <c r="E41" s="12" t="s">
        <v>56</v>
      </c>
      <c r="F41" s="20" t="s">
        <v>675</v>
      </c>
      <c r="G41" s="20" t="s">
        <v>397</v>
      </c>
      <c r="H41" s="20">
        <v>4</v>
      </c>
      <c r="I41" s="20" t="s">
        <v>1337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7" si="1">+IF(OR($J41=0,$K41=0,$L41=0,$M41=0),"Không đủ ĐKDT","")</f>
        <v/>
      </c>
    </row>
    <row r="42" spans="2:14" ht="16.5" customHeight="1">
      <c r="B42" s="15">
        <v>33</v>
      </c>
      <c r="C42" s="22" t="s">
        <v>1380</v>
      </c>
      <c r="D42" s="10" t="s">
        <v>1381</v>
      </c>
      <c r="E42" s="12" t="s">
        <v>56</v>
      </c>
      <c r="F42" s="20" t="s">
        <v>468</v>
      </c>
      <c r="G42" s="20" t="s">
        <v>397</v>
      </c>
      <c r="H42" s="20">
        <v>4</v>
      </c>
      <c r="I42" s="20" t="s">
        <v>1337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1382</v>
      </c>
      <c r="D43" s="10" t="s">
        <v>239</v>
      </c>
      <c r="E43" s="12" t="s">
        <v>58</v>
      </c>
      <c r="F43" s="20" t="s">
        <v>52</v>
      </c>
      <c r="G43" s="20" t="s">
        <v>397</v>
      </c>
      <c r="H43" s="20">
        <v>4</v>
      </c>
      <c r="I43" s="20" t="s">
        <v>1337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1383</v>
      </c>
      <c r="D44" s="10" t="s">
        <v>1384</v>
      </c>
      <c r="E44" s="12" t="s">
        <v>58</v>
      </c>
      <c r="F44" s="20" t="s">
        <v>756</v>
      </c>
      <c r="G44" s="20" t="s">
        <v>397</v>
      </c>
      <c r="H44" s="20">
        <v>4</v>
      </c>
      <c r="I44" s="20" t="s">
        <v>1337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1385</v>
      </c>
      <c r="D45" s="10" t="s">
        <v>904</v>
      </c>
      <c r="E45" s="12" t="s">
        <v>58</v>
      </c>
      <c r="F45" s="20" t="s">
        <v>432</v>
      </c>
      <c r="G45" s="20" t="s">
        <v>397</v>
      </c>
      <c r="H45" s="20">
        <v>4</v>
      </c>
      <c r="I45" s="20" t="s">
        <v>1337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1386</v>
      </c>
      <c r="D46" s="10" t="s">
        <v>139</v>
      </c>
      <c r="E46" s="12" t="s">
        <v>58</v>
      </c>
      <c r="F46" s="20" t="s">
        <v>696</v>
      </c>
      <c r="G46" s="20" t="s">
        <v>397</v>
      </c>
      <c r="H46" s="20">
        <v>4</v>
      </c>
      <c r="I46" s="20" t="s">
        <v>1337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1387</v>
      </c>
      <c r="D47" s="10" t="s">
        <v>170</v>
      </c>
      <c r="E47" s="12" t="s">
        <v>62</v>
      </c>
      <c r="F47" s="20" t="s">
        <v>675</v>
      </c>
      <c r="G47" s="20" t="s">
        <v>397</v>
      </c>
      <c r="H47" s="20">
        <v>4</v>
      </c>
      <c r="I47" s="20" t="s">
        <v>1337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1388</v>
      </c>
      <c r="D48" s="10" t="s">
        <v>187</v>
      </c>
      <c r="E48" s="12" t="s">
        <v>62</v>
      </c>
      <c r="F48" s="20" t="s">
        <v>414</v>
      </c>
      <c r="G48" s="20" t="s">
        <v>397</v>
      </c>
      <c r="H48" s="20">
        <v>4</v>
      </c>
      <c r="I48" s="20" t="s">
        <v>1337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1389</v>
      </c>
      <c r="D49" s="10" t="s">
        <v>914</v>
      </c>
      <c r="E49" s="12" t="s">
        <v>62</v>
      </c>
      <c r="F49" s="20" t="s">
        <v>701</v>
      </c>
      <c r="G49" s="20" t="s">
        <v>397</v>
      </c>
      <c r="H49" s="20">
        <v>4</v>
      </c>
      <c r="I49" s="20" t="s">
        <v>1337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1390</v>
      </c>
      <c r="D50" s="10" t="s">
        <v>1391</v>
      </c>
      <c r="E50" s="12" t="s">
        <v>1392</v>
      </c>
      <c r="F50" s="20" t="s">
        <v>396</v>
      </c>
      <c r="G50" s="20" t="s">
        <v>397</v>
      </c>
      <c r="H50" s="20">
        <v>4</v>
      </c>
      <c r="I50" s="20" t="s">
        <v>1337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1393</v>
      </c>
      <c r="D51" s="10" t="s">
        <v>238</v>
      </c>
      <c r="E51" s="12" t="s">
        <v>301</v>
      </c>
      <c r="F51" s="20" t="s">
        <v>450</v>
      </c>
      <c r="G51" s="20" t="s">
        <v>397</v>
      </c>
      <c r="H51" s="20">
        <v>4</v>
      </c>
      <c r="I51" s="20" t="s">
        <v>1337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1394</v>
      </c>
      <c r="D52" s="10" t="s">
        <v>343</v>
      </c>
      <c r="E52" s="12" t="s">
        <v>67</v>
      </c>
      <c r="F52" s="20" t="s">
        <v>694</v>
      </c>
      <c r="G52" s="20" t="s">
        <v>397</v>
      </c>
      <c r="H52" s="20">
        <v>4</v>
      </c>
      <c r="I52" s="20" t="s">
        <v>1337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1395</v>
      </c>
      <c r="D53" s="10" t="s">
        <v>323</v>
      </c>
      <c r="E53" s="12" t="s">
        <v>67</v>
      </c>
      <c r="F53" s="20" t="s">
        <v>720</v>
      </c>
      <c r="G53" s="20" t="s">
        <v>397</v>
      </c>
      <c r="H53" s="20">
        <v>4</v>
      </c>
      <c r="I53" s="20" t="s">
        <v>1337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1396</v>
      </c>
      <c r="D54" s="10" t="s">
        <v>94</v>
      </c>
      <c r="E54" s="12" t="s">
        <v>67</v>
      </c>
      <c r="F54" s="20" t="s">
        <v>412</v>
      </c>
      <c r="G54" s="20" t="s">
        <v>397</v>
      </c>
      <c r="H54" s="20">
        <v>4</v>
      </c>
      <c r="I54" s="20" t="s">
        <v>1337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1397</v>
      </c>
      <c r="D55" s="10" t="s">
        <v>1398</v>
      </c>
      <c r="E55" s="12" t="s">
        <v>1399</v>
      </c>
      <c r="F55" s="20" t="s">
        <v>756</v>
      </c>
      <c r="G55" s="20" t="s">
        <v>397</v>
      </c>
      <c r="H55" s="20">
        <v>4</v>
      </c>
      <c r="I55" s="20" t="s">
        <v>1337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1400</v>
      </c>
      <c r="D56" s="10" t="s">
        <v>1401</v>
      </c>
      <c r="E56" s="12" t="s">
        <v>69</v>
      </c>
      <c r="F56" s="20" t="s">
        <v>696</v>
      </c>
      <c r="G56" s="20" t="s">
        <v>397</v>
      </c>
      <c r="H56" s="20">
        <v>4</v>
      </c>
      <c r="I56" s="20" t="s">
        <v>1337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1402</v>
      </c>
      <c r="D57" s="10" t="s">
        <v>434</v>
      </c>
      <c r="E57" s="12" t="s">
        <v>71</v>
      </c>
      <c r="F57" s="20" t="s">
        <v>683</v>
      </c>
      <c r="G57" s="20" t="s">
        <v>397</v>
      </c>
      <c r="H57" s="20">
        <v>4</v>
      </c>
      <c r="I57" s="20" t="s">
        <v>1337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1403</v>
      </c>
      <c r="D58" s="10" t="s">
        <v>327</v>
      </c>
      <c r="E58" s="12" t="s">
        <v>72</v>
      </c>
      <c r="F58" s="20" t="s">
        <v>687</v>
      </c>
      <c r="G58" s="20" t="s">
        <v>397</v>
      </c>
      <c r="H58" s="20">
        <v>4</v>
      </c>
      <c r="I58" s="20" t="s">
        <v>1337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1404</v>
      </c>
      <c r="D59" s="10" t="s">
        <v>780</v>
      </c>
      <c r="E59" s="12" t="s">
        <v>72</v>
      </c>
      <c r="F59" s="20" t="s">
        <v>410</v>
      </c>
      <c r="G59" s="20" t="s">
        <v>397</v>
      </c>
      <c r="H59" s="20">
        <v>4</v>
      </c>
      <c r="I59" s="20" t="s">
        <v>1337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1405</v>
      </c>
      <c r="D60" s="10" t="s">
        <v>76</v>
      </c>
      <c r="E60" s="12" t="s">
        <v>72</v>
      </c>
      <c r="F60" s="20" t="s">
        <v>450</v>
      </c>
      <c r="G60" s="20" t="s">
        <v>397</v>
      </c>
      <c r="H60" s="20">
        <v>4</v>
      </c>
      <c r="I60" s="20" t="s">
        <v>1337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1406</v>
      </c>
      <c r="D61" s="10" t="s">
        <v>652</v>
      </c>
      <c r="E61" s="12" t="s">
        <v>217</v>
      </c>
      <c r="F61" s="20" t="s">
        <v>696</v>
      </c>
      <c r="G61" s="20" t="s">
        <v>397</v>
      </c>
      <c r="H61" s="20">
        <v>4</v>
      </c>
      <c r="I61" s="20" t="s">
        <v>1337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1407</v>
      </c>
      <c r="D62" s="10" t="s">
        <v>346</v>
      </c>
      <c r="E62" s="12" t="s">
        <v>73</v>
      </c>
      <c r="F62" s="20" t="s">
        <v>694</v>
      </c>
      <c r="G62" s="20" t="s">
        <v>397</v>
      </c>
      <c r="H62" s="20">
        <v>4</v>
      </c>
      <c r="I62" s="20" t="s">
        <v>1337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1408</v>
      </c>
      <c r="D63" s="10" t="s">
        <v>1409</v>
      </c>
      <c r="E63" s="12" t="s">
        <v>73</v>
      </c>
      <c r="F63" s="20" t="s">
        <v>720</v>
      </c>
      <c r="G63" s="20" t="s">
        <v>397</v>
      </c>
      <c r="H63" s="20">
        <v>4</v>
      </c>
      <c r="I63" s="20" t="s">
        <v>1337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1410</v>
      </c>
      <c r="D64" s="10" t="s">
        <v>904</v>
      </c>
      <c r="E64" s="12" t="s">
        <v>75</v>
      </c>
      <c r="F64" s="20" t="s">
        <v>40</v>
      </c>
      <c r="G64" s="20" t="s">
        <v>397</v>
      </c>
      <c r="H64" s="20">
        <v>4</v>
      </c>
      <c r="I64" s="20" t="s">
        <v>1337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1411</v>
      </c>
      <c r="D65" s="10" t="s">
        <v>1412</v>
      </c>
      <c r="E65" s="12" t="s">
        <v>75</v>
      </c>
      <c r="F65" s="20" t="s">
        <v>117</v>
      </c>
      <c r="G65" s="20" t="s">
        <v>397</v>
      </c>
      <c r="H65" s="20">
        <v>4</v>
      </c>
      <c r="I65" s="20" t="s">
        <v>1337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1413</v>
      </c>
      <c r="D66" s="10" t="s">
        <v>434</v>
      </c>
      <c r="E66" s="12" t="s">
        <v>75</v>
      </c>
      <c r="F66" s="20" t="s">
        <v>756</v>
      </c>
      <c r="G66" s="20" t="s">
        <v>397</v>
      </c>
      <c r="H66" s="20">
        <v>4</v>
      </c>
      <c r="I66" s="20" t="s">
        <v>1337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2" t="s">
        <v>1414</v>
      </c>
      <c r="D67" s="10" t="s">
        <v>242</v>
      </c>
      <c r="E67" s="12" t="s">
        <v>77</v>
      </c>
      <c r="F67" s="20" t="s">
        <v>38</v>
      </c>
      <c r="G67" s="20" t="s">
        <v>397</v>
      </c>
      <c r="H67" s="20">
        <v>4</v>
      </c>
      <c r="I67" s="20" t="s">
        <v>1337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si="1"/>
        <v/>
      </c>
    </row>
    <row r="68" spans="2:14" ht="16.5" customHeight="1">
      <c r="B68" s="15">
        <v>59</v>
      </c>
      <c r="C68" s="21" t="s">
        <v>1415</v>
      </c>
      <c r="D68" s="9" t="s">
        <v>221</v>
      </c>
      <c r="E68" s="11" t="s">
        <v>77</v>
      </c>
      <c r="F68" s="19" t="s">
        <v>117</v>
      </c>
      <c r="G68" s="19" t="s">
        <v>397</v>
      </c>
      <c r="H68" s="19">
        <v>4</v>
      </c>
      <c r="I68" s="19" t="s">
        <v>1337</v>
      </c>
      <c r="J68" s="17" t="s">
        <v>13</v>
      </c>
      <c r="K68" s="17" t="s">
        <v>13</v>
      </c>
      <c r="L68" s="17" t="s">
        <v>13</v>
      </c>
      <c r="M68" s="17" t="s">
        <v>13</v>
      </c>
      <c r="N68" s="14" t="str">
        <f>+IF(OR($J68=0,$K68=0,$L68=0,$M68=0),"Không đủ ĐKDT","")</f>
        <v/>
      </c>
    </row>
    <row r="69" spans="2:14" ht="16.5" customHeight="1">
      <c r="B69" s="15">
        <v>60</v>
      </c>
      <c r="C69" s="22" t="s">
        <v>1416</v>
      </c>
      <c r="D69" s="10" t="s">
        <v>184</v>
      </c>
      <c r="E69" s="12" t="s">
        <v>77</v>
      </c>
      <c r="F69" s="20" t="s">
        <v>756</v>
      </c>
      <c r="G69" s="20" t="s">
        <v>397</v>
      </c>
      <c r="H69" s="20">
        <v>4</v>
      </c>
      <c r="I69" s="20" t="s">
        <v>1337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>+IF(OR($J69=0,$K69=0,$L69=0,$M69=0),"Không đủ ĐKDT","")</f>
        <v/>
      </c>
    </row>
    <row r="70" spans="2:14" ht="16.5" customHeight="1">
      <c r="B70" s="15">
        <v>61</v>
      </c>
      <c r="C70" s="22" t="s">
        <v>1417</v>
      </c>
      <c r="D70" s="10" t="s">
        <v>1321</v>
      </c>
      <c r="E70" s="12" t="s">
        <v>77</v>
      </c>
      <c r="F70" s="20" t="s">
        <v>683</v>
      </c>
      <c r="G70" s="20" t="s">
        <v>397</v>
      </c>
      <c r="H70" s="20">
        <v>4</v>
      </c>
      <c r="I70" s="20" t="s">
        <v>1337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ref="N70:N95" si="2">+IF(OR($J70=0,$K70=0,$L70=0,$M70=0),"Không đủ ĐKDT","")</f>
        <v/>
      </c>
    </row>
    <row r="71" spans="2:14" ht="16.5" customHeight="1">
      <c r="B71" s="15">
        <v>62</v>
      </c>
      <c r="C71" s="22" t="s">
        <v>1418</v>
      </c>
      <c r="D71" s="10" t="s">
        <v>1419</v>
      </c>
      <c r="E71" s="12" t="s">
        <v>81</v>
      </c>
      <c r="F71" s="20" t="s">
        <v>1420</v>
      </c>
      <c r="G71" s="20" t="s">
        <v>397</v>
      </c>
      <c r="H71" s="20">
        <v>4</v>
      </c>
      <c r="I71" s="20" t="s">
        <v>1337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1421</v>
      </c>
      <c r="D72" s="10" t="s">
        <v>236</v>
      </c>
      <c r="E72" s="12" t="s">
        <v>889</v>
      </c>
      <c r="F72" s="20" t="s">
        <v>694</v>
      </c>
      <c r="G72" s="20" t="s">
        <v>397</v>
      </c>
      <c r="H72" s="20">
        <v>4</v>
      </c>
      <c r="I72" s="20" t="s">
        <v>1337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1422</v>
      </c>
      <c r="D73" s="10" t="s">
        <v>1423</v>
      </c>
      <c r="E73" s="12" t="s">
        <v>87</v>
      </c>
      <c r="F73" s="20" t="s">
        <v>450</v>
      </c>
      <c r="G73" s="20" t="s">
        <v>397</v>
      </c>
      <c r="H73" s="20">
        <v>4</v>
      </c>
      <c r="I73" s="20" t="s">
        <v>1337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1424</v>
      </c>
      <c r="D74" s="10" t="s">
        <v>256</v>
      </c>
      <c r="E74" s="12" t="s">
        <v>87</v>
      </c>
      <c r="F74" s="20" t="s">
        <v>450</v>
      </c>
      <c r="G74" s="20" t="s">
        <v>397</v>
      </c>
      <c r="H74" s="20">
        <v>4</v>
      </c>
      <c r="I74" s="20" t="s">
        <v>1337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1425</v>
      </c>
      <c r="D75" s="10" t="s">
        <v>1426</v>
      </c>
      <c r="E75" s="12" t="s">
        <v>89</v>
      </c>
      <c r="F75" s="20" t="s">
        <v>412</v>
      </c>
      <c r="G75" s="20" t="s">
        <v>397</v>
      </c>
      <c r="H75" s="20">
        <v>4</v>
      </c>
      <c r="I75" s="20" t="s">
        <v>1337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1427</v>
      </c>
      <c r="D76" s="10" t="s">
        <v>1428</v>
      </c>
      <c r="E76" s="12" t="s">
        <v>91</v>
      </c>
      <c r="F76" s="20" t="s">
        <v>720</v>
      </c>
      <c r="G76" s="20" t="s">
        <v>397</v>
      </c>
      <c r="H76" s="20">
        <v>4</v>
      </c>
      <c r="I76" s="20" t="s">
        <v>1337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1429</v>
      </c>
      <c r="D77" s="10" t="s">
        <v>1430</v>
      </c>
      <c r="E77" s="12" t="s">
        <v>95</v>
      </c>
      <c r="F77" s="20" t="s">
        <v>696</v>
      </c>
      <c r="G77" s="20" t="s">
        <v>397</v>
      </c>
      <c r="H77" s="20">
        <v>4</v>
      </c>
      <c r="I77" s="20" t="s">
        <v>1337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1431</v>
      </c>
      <c r="D78" s="10" t="s">
        <v>434</v>
      </c>
      <c r="E78" s="12" t="s">
        <v>1432</v>
      </c>
      <c r="F78" s="20" t="s">
        <v>412</v>
      </c>
      <c r="G78" s="20" t="s">
        <v>397</v>
      </c>
      <c r="H78" s="20">
        <v>4</v>
      </c>
      <c r="I78" s="20" t="s">
        <v>1337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1433</v>
      </c>
      <c r="D79" s="10" t="s">
        <v>1434</v>
      </c>
      <c r="E79" s="12" t="s">
        <v>334</v>
      </c>
      <c r="F79" s="20" t="s">
        <v>432</v>
      </c>
      <c r="G79" s="20" t="s">
        <v>397</v>
      </c>
      <c r="H79" s="20">
        <v>4</v>
      </c>
      <c r="I79" s="20" t="s">
        <v>1337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1435</v>
      </c>
      <c r="D80" s="10" t="s">
        <v>1436</v>
      </c>
      <c r="E80" s="12" t="s">
        <v>97</v>
      </c>
      <c r="F80" s="20" t="s">
        <v>412</v>
      </c>
      <c r="G80" s="20" t="s">
        <v>397</v>
      </c>
      <c r="H80" s="20">
        <v>4</v>
      </c>
      <c r="I80" s="20" t="s">
        <v>1337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1437</v>
      </c>
      <c r="D81" s="10" t="s">
        <v>261</v>
      </c>
      <c r="E81" s="12" t="s">
        <v>97</v>
      </c>
      <c r="F81" s="20" t="s">
        <v>687</v>
      </c>
      <c r="G81" s="20" t="s">
        <v>397</v>
      </c>
      <c r="H81" s="20">
        <v>4</v>
      </c>
      <c r="I81" s="20" t="s">
        <v>1337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1438</v>
      </c>
      <c r="D82" s="10" t="s">
        <v>1439</v>
      </c>
      <c r="E82" s="12" t="s">
        <v>153</v>
      </c>
      <c r="F82" s="20" t="s">
        <v>696</v>
      </c>
      <c r="G82" s="20" t="s">
        <v>397</v>
      </c>
      <c r="H82" s="20">
        <v>4</v>
      </c>
      <c r="I82" s="20" t="s">
        <v>1337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1440</v>
      </c>
      <c r="D83" s="10" t="s">
        <v>575</v>
      </c>
      <c r="E83" s="12" t="s">
        <v>158</v>
      </c>
      <c r="F83" s="20" t="s">
        <v>694</v>
      </c>
      <c r="G83" s="20" t="s">
        <v>397</v>
      </c>
      <c r="H83" s="20">
        <v>4</v>
      </c>
      <c r="I83" s="20" t="s">
        <v>1337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1441</v>
      </c>
      <c r="D84" s="10" t="s">
        <v>175</v>
      </c>
      <c r="E84" s="12" t="s">
        <v>158</v>
      </c>
      <c r="F84" s="20" t="s">
        <v>696</v>
      </c>
      <c r="G84" s="20" t="s">
        <v>397</v>
      </c>
      <c r="H84" s="20">
        <v>4</v>
      </c>
      <c r="I84" s="20" t="s">
        <v>1337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1442</v>
      </c>
      <c r="D85" s="10" t="s">
        <v>226</v>
      </c>
      <c r="E85" s="12" t="s">
        <v>1443</v>
      </c>
      <c r="F85" s="20" t="s">
        <v>690</v>
      </c>
      <c r="G85" s="20" t="s">
        <v>397</v>
      </c>
      <c r="H85" s="20">
        <v>4</v>
      </c>
      <c r="I85" s="20" t="s">
        <v>1337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1444</v>
      </c>
      <c r="D86" s="10" t="s">
        <v>1445</v>
      </c>
      <c r="E86" s="12" t="s">
        <v>162</v>
      </c>
      <c r="F86" s="20" t="s">
        <v>696</v>
      </c>
      <c r="G86" s="20" t="s">
        <v>397</v>
      </c>
      <c r="H86" s="20">
        <v>4</v>
      </c>
      <c r="I86" s="20" t="s">
        <v>1337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1446</v>
      </c>
      <c r="D87" s="10" t="s">
        <v>1447</v>
      </c>
      <c r="E87" s="12" t="s">
        <v>166</v>
      </c>
      <c r="F87" s="20" t="s">
        <v>1448</v>
      </c>
      <c r="G87" s="20" t="s">
        <v>397</v>
      </c>
      <c r="H87" s="20">
        <v>4</v>
      </c>
      <c r="I87" s="20" t="s">
        <v>1337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1449</v>
      </c>
      <c r="D88" s="10" t="s">
        <v>254</v>
      </c>
      <c r="E88" s="12" t="s">
        <v>166</v>
      </c>
      <c r="F88" s="20" t="s">
        <v>687</v>
      </c>
      <c r="G88" s="20" t="s">
        <v>397</v>
      </c>
      <c r="H88" s="20">
        <v>4</v>
      </c>
      <c r="I88" s="20" t="s">
        <v>1337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1450</v>
      </c>
      <c r="D89" s="10" t="s">
        <v>1451</v>
      </c>
      <c r="E89" s="12" t="s">
        <v>128</v>
      </c>
      <c r="F89" s="20" t="s">
        <v>450</v>
      </c>
      <c r="G89" s="20" t="s">
        <v>397</v>
      </c>
      <c r="H89" s="20">
        <v>4</v>
      </c>
      <c r="I89" s="20" t="s">
        <v>1337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1452</v>
      </c>
      <c r="D90" s="10" t="s">
        <v>1453</v>
      </c>
      <c r="E90" s="12" t="s">
        <v>128</v>
      </c>
      <c r="F90" s="20" t="s">
        <v>38</v>
      </c>
      <c r="G90" s="20" t="s">
        <v>397</v>
      </c>
      <c r="H90" s="20">
        <v>4</v>
      </c>
      <c r="I90" s="20" t="s">
        <v>1337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1454</v>
      </c>
      <c r="D91" s="10" t="s">
        <v>245</v>
      </c>
      <c r="E91" s="12" t="s">
        <v>128</v>
      </c>
      <c r="F91" s="20" t="s">
        <v>82</v>
      </c>
      <c r="G91" s="20" t="s">
        <v>397</v>
      </c>
      <c r="H91" s="20">
        <v>4</v>
      </c>
      <c r="I91" s="20" t="s">
        <v>1337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1455</v>
      </c>
      <c r="D92" s="10" t="s">
        <v>172</v>
      </c>
      <c r="E92" s="12" t="s">
        <v>171</v>
      </c>
      <c r="F92" s="20" t="s">
        <v>410</v>
      </c>
      <c r="G92" s="20" t="s">
        <v>397</v>
      </c>
      <c r="H92" s="20">
        <v>4</v>
      </c>
      <c r="I92" s="20" t="s">
        <v>1337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1456</v>
      </c>
      <c r="D93" s="10" t="s">
        <v>1457</v>
      </c>
      <c r="E93" s="12" t="s">
        <v>173</v>
      </c>
      <c r="F93" s="20" t="s">
        <v>687</v>
      </c>
      <c r="G93" s="20" t="s">
        <v>397</v>
      </c>
      <c r="H93" s="20">
        <v>4</v>
      </c>
      <c r="I93" s="20" t="s">
        <v>1337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1458</v>
      </c>
      <c r="D94" s="10" t="s">
        <v>211</v>
      </c>
      <c r="E94" s="12" t="s">
        <v>173</v>
      </c>
      <c r="F94" s="20" t="s">
        <v>30</v>
      </c>
      <c r="G94" s="20" t="s">
        <v>397</v>
      </c>
      <c r="H94" s="20">
        <v>4</v>
      </c>
      <c r="I94" s="20" t="s">
        <v>1337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6.5" customHeight="1">
      <c r="B95" s="15">
        <v>86</v>
      </c>
      <c r="C95" s="22" t="s">
        <v>1459</v>
      </c>
      <c r="D95" s="10" t="s">
        <v>76</v>
      </c>
      <c r="E95" s="12" t="s">
        <v>358</v>
      </c>
      <c r="F95" s="20" t="s">
        <v>720</v>
      </c>
      <c r="G95" s="20" t="s">
        <v>397</v>
      </c>
      <c r="H95" s="20">
        <v>4</v>
      </c>
      <c r="I95" s="20" t="s">
        <v>1337</v>
      </c>
      <c r="J95" s="18" t="s">
        <v>13</v>
      </c>
      <c r="K95" s="18" t="s">
        <v>13</v>
      </c>
      <c r="L95" s="18" t="s">
        <v>13</v>
      </c>
      <c r="M95" s="18" t="s">
        <v>13</v>
      </c>
      <c r="N95" s="16" t="str">
        <f t="shared" si="2"/>
        <v/>
      </c>
    </row>
    <row r="96" spans="2:14" ht="19.5" customHeight="1">
      <c r="B96" s="64" t="s">
        <v>20</v>
      </c>
      <c r="C96" s="64"/>
      <c r="D96" s="64"/>
      <c r="E96" s="64"/>
    </row>
    <row r="97" spans="2:14" ht="19.5" customHeight="1">
      <c r="B97" s="55" t="str">
        <f>"Điểm chuyên cần: " &amp; $J$9 &amp; "% "</f>
        <v xml:space="preserve">Điểm chuyên cần: % </v>
      </c>
      <c r="C97" s="55"/>
      <c r="D97" s="55"/>
      <c r="E97" s="55"/>
    </row>
    <row r="98" spans="2:14" ht="19.5" customHeight="1">
      <c r="B98" s="55" t="str">
        <f>"Điểm trung bình kiểm tra: "&amp;$K$9&amp;"%"</f>
        <v>Điểm trung bình kiểm tra: %</v>
      </c>
      <c r="C98" s="55"/>
      <c r="D98" s="55"/>
      <c r="E98" s="55"/>
    </row>
    <row r="99" spans="2:14" ht="19.5" customHeight="1">
      <c r="B99" s="55" t="str">
        <f>"Điểm thí nghiệm, thực hành: "&amp;$L$9&amp;"%"</f>
        <v>Điểm thí nghiệm, thực hành: %</v>
      </c>
      <c r="C99" s="55"/>
      <c r="D99" s="55"/>
      <c r="E99" s="55"/>
    </row>
    <row r="100" spans="2:14" ht="19.5" customHeight="1">
      <c r="B100" s="55" t="str">
        <f>"Điểm bài tập tiểu luận, seminar: "&amp;$M$9&amp;"%"</f>
        <v>Điểm bài tập tiểu luận, seminar: %</v>
      </c>
      <c r="C100" s="55"/>
      <c r="D100" s="55"/>
      <c r="E100" s="55"/>
    </row>
    <row r="101" spans="2:14">
      <c r="J101" s="56" t="s">
        <v>21</v>
      </c>
      <c r="K101" s="56"/>
      <c r="L101" s="56"/>
      <c r="M101" s="56"/>
      <c r="N101" s="56"/>
    </row>
    <row r="102" spans="2:14" ht="32.25" customHeight="1">
      <c r="B102" s="57" t="s">
        <v>17</v>
      </c>
      <c r="C102" s="57"/>
      <c r="D102" s="57"/>
      <c r="E102" s="57"/>
      <c r="F102" s="28"/>
      <c r="G102" s="28"/>
      <c r="H102" s="28"/>
      <c r="I102" s="28"/>
      <c r="J102" s="57" t="s">
        <v>18</v>
      </c>
      <c r="K102" s="57"/>
      <c r="L102" s="57"/>
      <c r="M102" s="57"/>
      <c r="N102" s="57"/>
    </row>
    <row r="108" spans="2:14">
      <c r="J108" s="58"/>
      <c r="K108" s="58"/>
      <c r="L108" s="58"/>
      <c r="M108" s="58"/>
      <c r="N108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9:E99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6:E96"/>
    <mergeCell ref="B97:E97"/>
    <mergeCell ref="B98:E98"/>
    <mergeCell ref="L7:L8"/>
    <mergeCell ref="M7:M8"/>
    <mergeCell ref="B100:E100"/>
    <mergeCell ref="J101:N101"/>
    <mergeCell ref="B102:E102"/>
    <mergeCell ref="J102:N102"/>
    <mergeCell ref="J108:N108"/>
  </mergeCells>
  <conditionalFormatting sqref="J10:M10">
    <cfRule type="cellIs" dxfId="237" priority="55" stopIfTrue="1" operator="greaterThan">
      <formula>10</formula>
    </cfRule>
    <cfRule type="cellIs" dxfId="236" priority="56" stopIfTrue="1" operator="greaterThan">
      <formula>10</formula>
    </cfRule>
    <cfRule type="cellIs" dxfId="235" priority="57" stopIfTrue="1" operator="greaterThan">
      <formula>10</formula>
    </cfRule>
    <cfRule type="cellIs" dxfId="234" priority="58" stopIfTrue="1" operator="greaterThan">
      <formula>10</formula>
    </cfRule>
  </conditionalFormatting>
  <conditionalFormatting sqref="J11:M13">
    <cfRule type="cellIs" dxfId="233" priority="51" stopIfTrue="1" operator="greaterThan">
      <formula>10</formula>
    </cfRule>
    <cfRule type="cellIs" dxfId="232" priority="52" stopIfTrue="1" operator="greaterThan">
      <formula>10</formula>
    </cfRule>
    <cfRule type="cellIs" dxfId="231" priority="53" stopIfTrue="1" operator="greaterThan">
      <formula>10</formula>
    </cfRule>
    <cfRule type="cellIs" dxfId="230" priority="54" stopIfTrue="1" operator="greaterThan">
      <formula>10</formula>
    </cfRule>
  </conditionalFormatting>
  <conditionalFormatting sqref="J14:M15 J23:M38">
    <cfRule type="cellIs" dxfId="229" priority="47" stopIfTrue="1" operator="greaterThan">
      <formula>10</formula>
    </cfRule>
    <cfRule type="cellIs" dxfId="228" priority="48" stopIfTrue="1" operator="greaterThan">
      <formula>10</formula>
    </cfRule>
    <cfRule type="cellIs" dxfId="227" priority="49" stopIfTrue="1" operator="greaterThan">
      <formula>10</formula>
    </cfRule>
    <cfRule type="cellIs" dxfId="226" priority="50" stopIfTrue="1" operator="greaterThan">
      <formula>10</formula>
    </cfRule>
  </conditionalFormatting>
  <conditionalFormatting sqref="J16:M22">
    <cfRule type="cellIs" dxfId="225" priority="41" stopIfTrue="1" operator="greaterThan">
      <formula>10</formula>
    </cfRule>
    <cfRule type="cellIs" dxfId="224" priority="42" stopIfTrue="1" operator="greaterThan">
      <formula>10</formula>
    </cfRule>
    <cfRule type="cellIs" dxfId="223" priority="43" stopIfTrue="1" operator="greaterThan">
      <formula>10</formula>
    </cfRule>
    <cfRule type="cellIs" dxfId="222" priority="44" stopIfTrue="1" operator="greaterThan">
      <formula>10</formula>
    </cfRule>
  </conditionalFormatting>
  <conditionalFormatting sqref="C16:C22">
    <cfRule type="duplicateValues" dxfId="221" priority="45" stopIfTrue="1"/>
    <cfRule type="duplicateValues" dxfId="220" priority="46" stopIfTrue="1"/>
  </conditionalFormatting>
  <conditionalFormatting sqref="C10:C15 C23:C38">
    <cfRule type="duplicateValues" dxfId="219" priority="221" stopIfTrue="1"/>
    <cfRule type="duplicateValues" dxfId="218" priority="222" stopIfTrue="1"/>
  </conditionalFormatting>
  <conditionalFormatting sqref="J39:M39">
    <cfRule type="cellIs" dxfId="217" priority="35" stopIfTrue="1" operator="greaterThan">
      <formula>10</formula>
    </cfRule>
    <cfRule type="cellIs" dxfId="216" priority="36" stopIfTrue="1" operator="greaterThan">
      <formula>10</formula>
    </cfRule>
    <cfRule type="cellIs" dxfId="215" priority="37" stopIfTrue="1" operator="greaterThan">
      <formula>10</formula>
    </cfRule>
    <cfRule type="cellIs" dxfId="214" priority="38" stopIfTrue="1" operator="greaterThan">
      <formula>10</formula>
    </cfRule>
  </conditionalFormatting>
  <conditionalFormatting sqref="J40:M42">
    <cfRule type="cellIs" dxfId="213" priority="31" stopIfTrue="1" operator="greaterThan">
      <formula>10</formula>
    </cfRule>
    <cfRule type="cellIs" dxfId="212" priority="32" stopIfTrue="1" operator="greaterThan">
      <formula>10</formula>
    </cfRule>
    <cfRule type="cellIs" dxfId="211" priority="33" stopIfTrue="1" operator="greaterThan">
      <formula>10</formula>
    </cfRule>
    <cfRule type="cellIs" dxfId="210" priority="34" stopIfTrue="1" operator="greaterThan">
      <formula>10</formula>
    </cfRule>
  </conditionalFormatting>
  <conditionalFormatting sqref="J43:M44 J52:M67">
    <cfRule type="cellIs" dxfId="209" priority="27" stopIfTrue="1" operator="greaterThan">
      <formula>10</formula>
    </cfRule>
    <cfRule type="cellIs" dxfId="208" priority="28" stopIfTrue="1" operator="greaterThan">
      <formula>10</formula>
    </cfRule>
    <cfRule type="cellIs" dxfId="207" priority="29" stopIfTrue="1" operator="greaterThan">
      <formula>10</formula>
    </cfRule>
    <cfRule type="cellIs" dxfId="206" priority="30" stopIfTrue="1" operator="greaterThan">
      <formula>10</formula>
    </cfRule>
  </conditionalFormatting>
  <conditionalFormatting sqref="J45:M51">
    <cfRule type="cellIs" dxfId="205" priority="21" stopIfTrue="1" operator="greaterThan">
      <formula>10</formula>
    </cfRule>
    <cfRule type="cellIs" dxfId="204" priority="22" stopIfTrue="1" operator="greaterThan">
      <formula>10</formula>
    </cfRule>
    <cfRule type="cellIs" dxfId="203" priority="23" stopIfTrue="1" operator="greaterThan">
      <formula>10</formula>
    </cfRule>
    <cfRule type="cellIs" dxfId="202" priority="24" stopIfTrue="1" operator="greaterThan">
      <formula>10</formula>
    </cfRule>
  </conditionalFormatting>
  <conditionalFormatting sqref="C45:C51">
    <cfRule type="duplicateValues" dxfId="201" priority="25" stopIfTrue="1"/>
    <cfRule type="duplicateValues" dxfId="200" priority="26" stopIfTrue="1"/>
  </conditionalFormatting>
  <conditionalFormatting sqref="C39:C44 C52:C67">
    <cfRule type="duplicateValues" dxfId="199" priority="39" stopIfTrue="1"/>
    <cfRule type="duplicateValues" dxfId="198" priority="40" stopIfTrue="1"/>
  </conditionalFormatting>
  <conditionalFormatting sqref="J68:M68">
    <cfRule type="cellIs" dxfId="197" priority="15" stopIfTrue="1" operator="greaterThan">
      <formula>10</formula>
    </cfRule>
    <cfRule type="cellIs" dxfId="196" priority="16" stopIfTrue="1" operator="greaterThan">
      <formula>10</formula>
    </cfRule>
    <cfRule type="cellIs" dxfId="195" priority="17" stopIfTrue="1" operator="greaterThan">
      <formula>10</formula>
    </cfRule>
    <cfRule type="cellIs" dxfId="194" priority="18" stopIfTrue="1" operator="greaterThan">
      <formula>10</formula>
    </cfRule>
  </conditionalFormatting>
  <conditionalFormatting sqref="J69:M71">
    <cfRule type="cellIs" dxfId="193" priority="11" stopIfTrue="1" operator="greaterThan">
      <formula>10</formula>
    </cfRule>
    <cfRule type="cellIs" dxfId="192" priority="12" stopIfTrue="1" operator="greaterThan">
      <formula>10</formula>
    </cfRule>
    <cfRule type="cellIs" dxfId="191" priority="13" stopIfTrue="1" operator="greaterThan">
      <formula>10</formula>
    </cfRule>
    <cfRule type="cellIs" dxfId="190" priority="14" stopIfTrue="1" operator="greaterThan">
      <formula>10</formula>
    </cfRule>
  </conditionalFormatting>
  <conditionalFormatting sqref="J72:M73 J81:M95">
    <cfRule type="cellIs" dxfId="189" priority="7" stopIfTrue="1" operator="greaterThan">
      <formula>10</formula>
    </cfRule>
    <cfRule type="cellIs" dxfId="188" priority="8" stopIfTrue="1" operator="greaterThan">
      <formula>10</formula>
    </cfRule>
    <cfRule type="cellIs" dxfId="187" priority="9" stopIfTrue="1" operator="greaterThan">
      <formula>10</formula>
    </cfRule>
    <cfRule type="cellIs" dxfId="186" priority="10" stopIfTrue="1" operator="greaterThan">
      <formula>10</formula>
    </cfRule>
  </conditionalFormatting>
  <conditionalFormatting sqref="J74:M80">
    <cfRule type="cellIs" dxfId="185" priority="1" stopIfTrue="1" operator="greaterThan">
      <formula>10</formula>
    </cfRule>
    <cfRule type="cellIs" dxfId="184" priority="2" stopIfTrue="1" operator="greaterThan">
      <formula>10</formula>
    </cfRule>
    <cfRule type="cellIs" dxfId="183" priority="3" stopIfTrue="1" operator="greaterThan">
      <formula>10</formula>
    </cfRule>
    <cfRule type="cellIs" dxfId="182" priority="4" stopIfTrue="1" operator="greaterThan">
      <formula>10</formula>
    </cfRule>
  </conditionalFormatting>
  <conditionalFormatting sqref="C74:C80">
    <cfRule type="duplicateValues" dxfId="181" priority="5" stopIfTrue="1"/>
    <cfRule type="duplicateValues" dxfId="180" priority="6" stopIfTrue="1"/>
  </conditionalFormatting>
  <conditionalFormatting sqref="C68:C73 C81:C95">
    <cfRule type="duplicateValues" dxfId="179" priority="19" stopIfTrue="1"/>
    <cfRule type="duplicateValues" dxfId="178" priority="20" stopIfTrue="1"/>
  </conditionalFormatting>
  <dataValidations count="1">
    <dataValidation type="decimal" allowBlank="1" showInputMessage="1" showErrorMessage="1" error="Sai định dạng" sqref="J10:M95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B1:N108"/>
  <sheetViews>
    <sheetView topLeftCell="A18" workbookViewId="0">
      <selection activeCell="N82" sqref="N82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30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BAS1224_02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31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1207</v>
      </c>
      <c r="D10" s="9" t="s">
        <v>1208</v>
      </c>
      <c r="E10" s="11" t="s">
        <v>26</v>
      </c>
      <c r="F10" s="19" t="s">
        <v>52</v>
      </c>
      <c r="G10" s="19" t="s">
        <v>397</v>
      </c>
      <c r="H10" s="19">
        <v>4</v>
      </c>
      <c r="I10" s="19" t="s">
        <v>1209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1210</v>
      </c>
      <c r="D11" s="10" t="s">
        <v>1211</v>
      </c>
      <c r="E11" s="12" t="s">
        <v>27</v>
      </c>
      <c r="F11" s="20" t="s">
        <v>410</v>
      </c>
      <c r="G11" s="20" t="s">
        <v>397</v>
      </c>
      <c r="H11" s="20">
        <v>4</v>
      </c>
      <c r="I11" s="20" t="s">
        <v>1209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1212</v>
      </c>
      <c r="D12" s="10" t="s">
        <v>1213</v>
      </c>
      <c r="E12" s="12" t="s">
        <v>27</v>
      </c>
      <c r="F12" s="20" t="s">
        <v>412</v>
      </c>
      <c r="G12" s="20" t="s">
        <v>397</v>
      </c>
      <c r="H12" s="20">
        <v>4</v>
      </c>
      <c r="I12" s="20" t="s">
        <v>1209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1214</v>
      </c>
      <c r="D13" s="10" t="s">
        <v>144</v>
      </c>
      <c r="E13" s="12" t="s">
        <v>27</v>
      </c>
      <c r="F13" s="20" t="s">
        <v>456</v>
      </c>
      <c r="G13" s="20" t="s">
        <v>397</v>
      </c>
      <c r="H13" s="20">
        <v>4</v>
      </c>
      <c r="I13" s="20" t="s">
        <v>1209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1215</v>
      </c>
      <c r="D14" s="10" t="s">
        <v>189</v>
      </c>
      <c r="E14" s="12" t="s">
        <v>27</v>
      </c>
      <c r="F14" s="20" t="s">
        <v>410</v>
      </c>
      <c r="G14" s="20" t="s">
        <v>397</v>
      </c>
      <c r="H14" s="20">
        <v>4</v>
      </c>
      <c r="I14" s="20" t="s">
        <v>1209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1216</v>
      </c>
      <c r="D15" s="10" t="s">
        <v>76</v>
      </c>
      <c r="E15" s="12" t="s">
        <v>1217</v>
      </c>
      <c r="F15" s="20" t="s">
        <v>43</v>
      </c>
      <c r="G15" s="20" t="s">
        <v>397</v>
      </c>
      <c r="H15" s="20">
        <v>4</v>
      </c>
      <c r="I15" s="20" t="s">
        <v>1209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1218</v>
      </c>
      <c r="D16" s="10" t="s">
        <v>760</v>
      </c>
      <c r="E16" s="12" t="s">
        <v>418</v>
      </c>
      <c r="F16" s="20" t="s">
        <v>456</v>
      </c>
      <c r="G16" s="20" t="s">
        <v>397</v>
      </c>
      <c r="H16" s="20">
        <v>4</v>
      </c>
      <c r="I16" s="20" t="s">
        <v>1209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1219</v>
      </c>
      <c r="D17" s="10" t="s">
        <v>78</v>
      </c>
      <c r="E17" s="12" t="s">
        <v>418</v>
      </c>
      <c r="F17" s="20" t="s">
        <v>52</v>
      </c>
      <c r="G17" s="20" t="s">
        <v>397</v>
      </c>
      <c r="H17" s="20">
        <v>4</v>
      </c>
      <c r="I17" s="20" t="s">
        <v>1209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1220</v>
      </c>
      <c r="D18" s="10" t="s">
        <v>969</v>
      </c>
      <c r="E18" s="12" t="s">
        <v>1099</v>
      </c>
      <c r="F18" s="20" t="s">
        <v>412</v>
      </c>
      <c r="G18" s="20" t="s">
        <v>397</v>
      </c>
      <c r="H18" s="20">
        <v>4</v>
      </c>
      <c r="I18" s="20" t="s">
        <v>1209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1221</v>
      </c>
      <c r="D19" s="10" t="s">
        <v>655</v>
      </c>
      <c r="E19" s="12" t="s">
        <v>180</v>
      </c>
      <c r="F19" s="20" t="s">
        <v>405</v>
      </c>
      <c r="G19" s="20" t="s">
        <v>397</v>
      </c>
      <c r="H19" s="20">
        <v>4</v>
      </c>
      <c r="I19" s="20" t="s">
        <v>1209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1222</v>
      </c>
      <c r="D20" s="10" t="s">
        <v>63</v>
      </c>
      <c r="E20" s="12" t="s">
        <v>180</v>
      </c>
      <c r="F20" s="20" t="s">
        <v>30</v>
      </c>
      <c r="G20" s="20" t="s">
        <v>397</v>
      </c>
      <c r="H20" s="20">
        <v>4</v>
      </c>
      <c r="I20" s="20" t="s">
        <v>1209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1223</v>
      </c>
      <c r="D21" s="10" t="s">
        <v>119</v>
      </c>
      <c r="E21" s="12" t="s">
        <v>36</v>
      </c>
      <c r="F21" s="20" t="s">
        <v>43</v>
      </c>
      <c r="G21" s="20" t="s">
        <v>397</v>
      </c>
      <c r="H21" s="20">
        <v>4</v>
      </c>
      <c r="I21" s="20" t="s">
        <v>1209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1224</v>
      </c>
      <c r="D22" s="10" t="s">
        <v>1225</v>
      </c>
      <c r="E22" s="12" t="s">
        <v>135</v>
      </c>
      <c r="F22" s="20" t="s">
        <v>40</v>
      </c>
      <c r="G22" s="20" t="s">
        <v>397</v>
      </c>
      <c r="H22" s="20">
        <v>4</v>
      </c>
      <c r="I22" s="20" t="s">
        <v>1209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1226</v>
      </c>
      <c r="D23" s="10" t="s">
        <v>1227</v>
      </c>
      <c r="E23" s="12" t="s">
        <v>136</v>
      </c>
      <c r="F23" s="20" t="s">
        <v>456</v>
      </c>
      <c r="G23" s="20" t="s">
        <v>397</v>
      </c>
      <c r="H23" s="20">
        <v>4</v>
      </c>
      <c r="I23" s="20" t="s">
        <v>1209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1228</v>
      </c>
      <c r="D24" s="10" t="s">
        <v>279</v>
      </c>
      <c r="E24" s="12" t="s">
        <v>136</v>
      </c>
      <c r="F24" s="20" t="s">
        <v>52</v>
      </c>
      <c r="G24" s="20" t="s">
        <v>397</v>
      </c>
      <c r="H24" s="20">
        <v>4</v>
      </c>
      <c r="I24" s="20" t="s">
        <v>1209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1229</v>
      </c>
      <c r="D25" s="10" t="s">
        <v>32</v>
      </c>
      <c r="E25" s="12" t="s">
        <v>306</v>
      </c>
      <c r="F25" s="20" t="s">
        <v>30</v>
      </c>
      <c r="G25" s="20" t="s">
        <v>397</v>
      </c>
      <c r="H25" s="20">
        <v>4</v>
      </c>
      <c r="I25" s="20" t="s">
        <v>1209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1230</v>
      </c>
      <c r="D26" s="10" t="s">
        <v>448</v>
      </c>
      <c r="E26" s="12" t="s">
        <v>39</v>
      </c>
      <c r="F26" s="20" t="s">
        <v>396</v>
      </c>
      <c r="G26" s="20" t="s">
        <v>397</v>
      </c>
      <c r="H26" s="20">
        <v>4</v>
      </c>
      <c r="I26" s="20" t="s">
        <v>1209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1231</v>
      </c>
      <c r="D27" s="10" t="s">
        <v>184</v>
      </c>
      <c r="E27" s="12" t="s">
        <v>39</v>
      </c>
      <c r="F27" s="20" t="s">
        <v>412</v>
      </c>
      <c r="G27" s="20" t="s">
        <v>397</v>
      </c>
      <c r="H27" s="20">
        <v>4</v>
      </c>
      <c r="I27" s="20" t="s">
        <v>1209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1232</v>
      </c>
      <c r="D28" s="10" t="s">
        <v>888</v>
      </c>
      <c r="E28" s="12" t="s">
        <v>42</v>
      </c>
      <c r="F28" s="20" t="s">
        <v>43</v>
      </c>
      <c r="G28" s="20" t="s">
        <v>397</v>
      </c>
      <c r="H28" s="20">
        <v>4</v>
      </c>
      <c r="I28" s="20" t="s">
        <v>1209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1233</v>
      </c>
      <c r="D29" s="10" t="s">
        <v>1234</v>
      </c>
      <c r="E29" s="12" t="s">
        <v>267</v>
      </c>
      <c r="F29" s="20" t="s">
        <v>414</v>
      </c>
      <c r="G29" s="20" t="s">
        <v>397</v>
      </c>
      <c r="H29" s="20">
        <v>4</v>
      </c>
      <c r="I29" s="20" t="s">
        <v>1209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1235</v>
      </c>
      <c r="D30" s="10" t="s">
        <v>846</v>
      </c>
      <c r="E30" s="12" t="s">
        <v>44</v>
      </c>
      <c r="F30" s="20" t="s">
        <v>420</v>
      </c>
      <c r="G30" s="20" t="s">
        <v>397</v>
      </c>
      <c r="H30" s="20">
        <v>4</v>
      </c>
      <c r="I30" s="20" t="s">
        <v>1209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1236</v>
      </c>
      <c r="D31" s="10" t="s">
        <v>234</v>
      </c>
      <c r="E31" s="12" t="s">
        <v>44</v>
      </c>
      <c r="F31" s="20" t="s">
        <v>468</v>
      </c>
      <c r="G31" s="20" t="s">
        <v>397</v>
      </c>
      <c r="H31" s="20">
        <v>4</v>
      </c>
      <c r="I31" s="20" t="s">
        <v>1209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1237</v>
      </c>
      <c r="D32" s="10" t="s">
        <v>252</v>
      </c>
      <c r="E32" s="12" t="s">
        <v>44</v>
      </c>
      <c r="F32" s="20" t="s">
        <v>412</v>
      </c>
      <c r="G32" s="20" t="s">
        <v>397</v>
      </c>
      <c r="H32" s="20">
        <v>4</v>
      </c>
      <c r="I32" s="20" t="s">
        <v>1209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1238</v>
      </c>
      <c r="D33" s="10" t="s">
        <v>1239</v>
      </c>
      <c r="E33" s="12" t="s">
        <v>44</v>
      </c>
      <c r="F33" s="20" t="s">
        <v>30</v>
      </c>
      <c r="G33" s="20" t="s">
        <v>397</v>
      </c>
      <c r="H33" s="20">
        <v>4</v>
      </c>
      <c r="I33" s="20" t="s">
        <v>1209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1240</v>
      </c>
      <c r="D34" s="10" t="s">
        <v>1241</v>
      </c>
      <c r="E34" s="12" t="s">
        <v>44</v>
      </c>
      <c r="F34" s="20" t="s">
        <v>410</v>
      </c>
      <c r="G34" s="20" t="s">
        <v>397</v>
      </c>
      <c r="H34" s="20">
        <v>4</v>
      </c>
      <c r="I34" s="20" t="s">
        <v>1209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1242</v>
      </c>
      <c r="D35" s="10" t="s">
        <v>1243</v>
      </c>
      <c r="E35" s="12" t="s">
        <v>44</v>
      </c>
      <c r="F35" s="20" t="s">
        <v>82</v>
      </c>
      <c r="G35" s="20" t="s">
        <v>397</v>
      </c>
      <c r="H35" s="20">
        <v>4</v>
      </c>
      <c r="I35" s="20" t="s">
        <v>1209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1244</v>
      </c>
      <c r="D36" s="10" t="s">
        <v>1245</v>
      </c>
      <c r="E36" s="12" t="s">
        <v>1246</v>
      </c>
      <c r="F36" s="20" t="s">
        <v>468</v>
      </c>
      <c r="G36" s="20" t="s">
        <v>397</v>
      </c>
      <c r="H36" s="20">
        <v>4</v>
      </c>
      <c r="I36" s="20" t="s">
        <v>1209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1247</v>
      </c>
      <c r="D37" s="10" t="s">
        <v>1248</v>
      </c>
      <c r="E37" s="12" t="s">
        <v>212</v>
      </c>
      <c r="F37" s="20" t="s">
        <v>43</v>
      </c>
      <c r="G37" s="20" t="s">
        <v>397</v>
      </c>
      <c r="H37" s="20">
        <v>4</v>
      </c>
      <c r="I37" s="20" t="s">
        <v>1209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1249</v>
      </c>
      <c r="D38" s="10" t="s">
        <v>1250</v>
      </c>
      <c r="E38" s="12" t="s">
        <v>46</v>
      </c>
      <c r="F38" s="20" t="s">
        <v>468</v>
      </c>
      <c r="G38" s="20" t="s">
        <v>397</v>
      </c>
      <c r="H38" s="20">
        <v>4</v>
      </c>
      <c r="I38" s="20" t="s">
        <v>1209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1251</v>
      </c>
      <c r="D39" s="9" t="s">
        <v>76</v>
      </c>
      <c r="E39" s="11" t="s">
        <v>268</v>
      </c>
      <c r="F39" s="19" t="s">
        <v>52</v>
      </c>
      <c r="G39" s="19" t="s">
        <v>397</v>
      </c>
      <c r="H39" s="19">
        <v>4</v>
      </c>
      <c r="I39" s="19" t="s">
        <v>1209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1252</v>
      </c>
      <c r="D40" s="10" t="s">
        <v>593</v>
      </c>
      <c r="E40" s="12" t="s">
        <v>49</v>
      </c>
      <c r="F40" s="20" t="s">
        <v>412</v>
      </c>
      <c r="G40" s="20" t="s">
        <v>397</v>
      </c>
      <c r="H40" s="20">
        <v>4</v>
      </c>
      <c r="I40" s="20" t="s">
        <v>1209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1253</v>
      </c>
      <c r="D41" s="10" t="s">
        <v>1254</v>
      </c>
      <c r="E41" s="12" t="s">
        <v>253</v>
      </c>
      <c r="F41" s="20" t="s">
        <v>468</v>
      </c>
      <c r="G41" s="20" t="s">
        <v>397</v>
      </c>
      <c r="H41" s="20">
        <v>4</v>
      </c>
      <c r="I41" s="20" t="s">
        <v>1209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7" si="1">+IF(OR($J41=0,$K41=0,$L41=0,$M41=0),"Không đủ ĐKDT","")</f>
        <v/>
      </c>
    </row>
    <row r="42" spans="2:14" ht="16.5" customHeight="1">
      <c r="B42" s="15">
        <v>33</v>
      </c>
      <c r="C42" s="22" t="s">
        <v>1255</v>
      </c>
      <c r="D42" s="10" t="s">
        <v>914</v>
      </c>
      <c r="E42" s="12" t="s">
        <v>53</v>
      </c>
      <c r="F42" s="20" t="s">
        <v>432</v>
      </c>
      <c r="G42" s="20" t="s">
        <v>397</v>
      </c>
      <c r="H42" s="20">
        <v>4</v>
      </c>
      <c r="I42" s="20" t="s">
        <v>1209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1256</v>
      </c>
      <c r="D43" s="10" t="s">
        <v>1257</v>
      </c>
      <c r="E43" s="12" t="s">
        <v>56</v>
      </c>
      <c r="F43" s="20" t="s">
        <v>52</v>
      </c>
      <c r="G43" s="20" t="s">
        <v>397</v>
      </c>
      <c r="H43" s="20">
        <v>4</v>
      </c>
      <c r="I43" s="20" t="s">
        <v>1209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1258</v>
      </c>
      <c r="D44" s="10" t="s">
        <v>150</v>
      </c>
      <c r="E44" s="12" t="s">
        <v>56</v>
      </c>
      <c r="F44" s="20" t="s">
        <v>412</v>
      </c>
      <c r="G44" s="20" t="s">
        <v>397</v>
      </c>
      <c r="H44" s="20">
        <v>4</v>
      </c>
      <c r="I44" s="20" t="s">
        <v>1209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1259</v>
      </c>
      <c r="D45" s="10" t="s">
        <v>256</v>
      </c>
      <c r="E45" s="12" t="s">
        <v>58</v>
      </c>
      <c r="F45" s="20" t="s">
        <v>412</v>
      </c>
      <c r="G45" s="20" t="s">
        <v>397</v>
      </c>
      <c r="H45" s="20">
        <v>4</v>
      </c>
      <c r="I45" s="20" t="s">
        <v>1209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1260</v>
      </c>
      <c r="D46" s="10" t="s">
        <v>1261</v>
      </c>
      <c r="E46" s="12" t="s">
        <v>1262</v>
      </c>
      <c r="F46" s="20" t="s">
        <v>52</v>
      </c>
      <c r="G46" s="20" t="s">
        <v>397</v>
      </c>
      <c r="H46" s="20">
        <v>4</v>
      </c>
      <c r="I46" s="20" t="s">
        <v>1209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1263</v>
      </c>
      <c r="D47" s="10" t="s">
        <v>1264</v>
      </c>
      <c r="E47" s="12" t="s">
        <v>142</v>
      </c>
      <c r="F47" s="20" t="s">
        <v>405</v>
      </c>
      <c r="G47" s="20" t="s">
        <v>397</v>
      </c>
      <c r="H47" s="20">
        <v>4</v>
      </c>
      <c r="I47" s="20" t="s">
        <v>1209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1265</v>
      </c>
      <c r="D48" s="10" t="s">
        <v>609</v>
      </c>
      <c r="E48" s="12" t="s">
        <v>1266</v>
      </c>
      <c r="F48" s="20" t="s">
        <v>414</v>
      </c>
      <c r="G48" s="20" t="s">
        <v>397</v>
      </c>
      <c r="H48" s="20">
        <v>4</v>
      </c>
      <c r="I48" s="20" t="s">
        <v>1209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1267</v>
      </c>
      <c r="D49" s="10" t="s">
        <v>1268</v>
      </c>
      <c r="E49" s="12" t="s">
        <v>143</v>
      </c>
      <c r="F49" s="20" t="s">
        <v>38</v>
      </c>
      <c r="G49" s="20" t="s">
        <v>397</v>
      </c>
      <c r="H49" s="20">
        <v>4</v>
      </c>
      <c r="I49" s="20" t="s">
        <v>1209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1269</v>
      </c>
      <c r="D50" s="10" t="s">
        <v>1270</v>
      </c>
      <c r="E50" s="12" t="s">
        <v>71</v>
      </c>
      <c r="F50" s="20" t="s">
        <v>82</v>
      </c>
      <c r="G50" s="20" t="s">
        <v>397</v>
      </c>
      <c r="H50" s="20">
        <v>4</v>
      </c>
      <c r="I50" s="20" t="s">
        <v>1209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1271</v>
      </c>
      <c r="D51" s="10" t="s">
        <v>1272</v>
      </c>
      <c r="E51" s="12" t="s">
        <v>72</v>
      </c>
      <c r="F51" s="20" t="s">
        <v>405</v>
      </c>
      <c r="G51" s="20" t="s">
        <v>397</v>
      </c>
      <c r="H51" s="20">
        <v>4</v>
      </c>
      <c r="I51" s="20" t="s">
        <v>1209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1273</v>
      </c>
      <c r="D52" s="10" t="s">
        <v>76</v>
      </c>
      <c r="E52" s="12" t="s">
        <v>72</v>
      </c>
      <c r="F52" s="20" t="s">
        <v>456</v>
      </c>
      <c r="G52" s="20" t="s">
        <v>397</v>
      </c>
      <c r="H52" s="20">
        <v>4</v>
      </c>
      <c r="I52" s="20" t="s">
        <v>1209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1274</v>
      </c>
      <c r="D53" s="10" t="s">
        <v>1241</v>
      </c>
      <c r="E53" s="12" t="s">
        <v>72</v>
      </c>
      <c r="F53" s="20" t="s">
        <v>468</v>
      </c>
      <c r="G53" s="20" t="s">
        <v>397</v>
      </c>
      <c r="H53" s="20">
        <v>4</v>
      </c>
      <c r="I53" s="20" t="s">
        <v>1209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1275</v>
      </c>
      <c r="D54" s="10" t="s">
        <v>1276</v>
      </c>
      <c r="E54" s="12" t="s">
        <v>190</v>
      </c>
      <c r="F54" s="20" t="s">
        <v>1277</v>
      </c>
      <c r="G54" s="20" t="s">
        <v>397</v>
      </c>
      <c r="H54" s="20">
        <v>4</v>
      </c>
      <c r="I54" s="20" t="s">
        <v>1209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1278</v>
      </c>
      <c r="D55" s="10" t="s">
        <v>1026</v>
      </c>
      <c r="E55" s="12" t="s">
        <v>75</v>
      </c>
      <c r="F55" s="20" t="s">
        <v>432</v>
      </c>
      <c r="G55" s="20" t="s">
        <v>397</v>
      </c>
      <c r="H55" s="20">
        <v>4</v>
      </c>
      <c r="I55" s="20" t="s">
        <v>1209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1279</v>
      </c>
      <c r="D56" s="10" t="s">
        <v>32</v>
      </c>
      <c r="E56" s="12" t="s">
        <v>75</v>
      </c>
      <c r="F56" s="20" t="s">
        <v>396</v>
      </c>
      <c r="G56" s="20" t="s">
        <v>397</v>
      </c>
      <c r="H56" s="20">
        <v>4</v>
      </c>
      <c r="I56" s="20" t="s">
        <v>1209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1280</v>
      </c>
      <c r="D57" s="10" t="s">
        <v>37</v>
      </c>
      <c r="E57" s="12" t="s">
        <v>75</v>
      </c>
      <c r="F57" s="20" t="s">
        <v>405</v>
      </c>
      <c r="G57" s="20" t="s">
        <v>397</v>
      </c>
      <c r="H57" s="20">
        <v>4</v>
      </c>
      <c r="I57" s="20" t="s">
        <v>1209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1281</v>
      </c>
      <c r="D58" s="10" t="s">
        <v>61</v>
      </c>
      <c r="E58" s="12" t="s">
        <v>75</v>
      </c>
      <c r="F58" s="20" t="s">
        <v>82</v>
      </c>
      <c r="G58" s="20" t="s">
        <v>397</v>
      </c>
      <c r="H58" s="20">
        <v>4</v>
      </c>
      <c r="I58" s="20" t="s">
        <v>1209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1282</v>
      </c>
      <c r="D59" s="10" t="s">
        <v>94</v>
      </c>
      <c r="E59" s="12" t="s">
        <v>77</v>
      </c>
      <c r="F59" s="20" t="s">
        <v>414</v>
      </c>
      <c r="G59" s="20" t="s">
        <v>397</v>
      </c>
      <c r="H59" s="20">
        <v>4</v>
      </c>
      <c r="I59" s="20" t="s">
        <v>1209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1283</v>
      </c>
      <c r="D60" s="10" t="s">
        <v>183</v>
      </c>
      <c r="E60" s="12" t="s">
        <v>77</v>
      </c>
      <c r="F60" s="20" t="s">
        <v>432</v>
      </c>
      <c r="G60" s="20" t="s">
        <v>397</v>
      </c>
      <c r="H60" s="20">
        <v>4</v>
      </c>
      <c r="I60" s="20" t="s">
        <v>1209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1284</v>
      </c>
      <c r="D61" s="10" t="s">
        <v>1285</v>
      </c>
      <c r="E61" s="12" t="s">
        <v>84</v>
      </c>
      <c r="F61" s="20" t="s">
        <v>432</v>
      </c>
      <c r="G61" s="20" t="s">
        <v>397</v>
      </c>
      <c r="H61" s="20">
        <v>4</v>
      </c>
      <c r="I61" s="20" t="s">
        <v>1209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1286</v>
      </c>
      <c r="D62" s="10" t="s">
        <v>362</v>
      </c>
      <c r="E62" s="12" t="s">
        <v>97</v>
      </c>
      <c r="F62" s="20" t="s">
        <v>1287</v>
      </c>
      <c r="G62" s="20" t="s">
        <v>397</v>
      </c>
      <c r="H62" s="20">
        <v>4</v>
      </c>
      <c r="I62" s="20" t="s">
        <v>1209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1288</v>
      </c>
      <c r="D63" s="10" t="s">
        <v>888</v>
      </c>
      <c r="E63" s="12" t="s">
        <v>97</v>
      </c>
      <c r="F63" s="20" t="s">
        <v>1289</v>
      </c>
      <c r="G63" s="20" t="s">
        <v>397</v>
      </c>
      <c r="H63" s="20">
        <v>4</v>
      </c>
      <c r="I63" s="20" t="s">
        <v>1209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1290</v>
      </c>
      <c r="D64" s="10" t="s">
        <v>1291</v>
      </c>
      <c r="E64" s="12" t="s">
        <v>97</v>
      </c>
      <c r="F64" s="20" t="s">
        <v>410</v>
      </c>
      <c r="G64" s="20" t="s">
        <v>397</v>
      </c>
      <c r="H64" s="20">
        <v>4</v>
      </c>
      <c r="I64" s="20" t="s">
        <v>1209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1292</v>
      </c>
      <c r="D65" s="10" t="s">
        <v>1293</v>
      </c>
      <c r="E65" s="12" t="s">
        <v>225</v>
      </c>
      <c r="F65" s="20" t="s">
        <v>456</v>
      </c>
      <c r="G65" s="20" t="s">
        <v>397</v>
      </c>
      <c r="H65" s="20">
        <v>4</v>
      </c>
      <c r="I65" s="20" t="s">
        <v>1209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1294</v>
      </c>
      <c r="D66" s="10" t="s">
        <v>119</v>
      </c>
      <c r="E66" s="12" t="s">
        <v>106</v>
      </c>
      <c r="F66" s="20" t="s">
        <v>432</v>
      </c>
      <c r="G66" s="20" t="s">
        <v>397</v>
      </c>
      <c r="H66" s="20">
        <v>4</v>
      </c>
      <c r="I66" s="20" t="s">
        <v>1209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2" t="s">
        <v>1295</v>
      </c>
      <c r="D67" s="10" t="s">
        <v>434</v>
      </c>
      <c r="E67" s="12" t="s">
        <v>156</v>
      </c>
      <c r="F67" s="20" t="s">
        <v>412</v>
      </c>
      <c r="G67" s="20" t="s">
        <v>397</v>
      </c>
      <c r="H67" s="20">
        <v>4</v>
      </c>
      <c r="I67" s="20" t="s">
        <v>1209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si="1"/>
        <v/>
      </c>
    </row>
    <row r="68" spans="2:14" ht="16.5" customHeight="1">
      <c r="B68" s="15">
        <v>59</v>
      </c>
      <c r="C68" s="21" t="s">
        <v>1296</v>
      </c>
      <c r="D68" s="9" t="s">
        <v>157</v>
      </c>
      <c r="E68" s="11" t="s">
        <v>156</v>
      </c>
      <c r="F68" s="19" t="s">
        <v>405</v>
      </c>
      <c r="G68" s="19" t="s">
        <v>397</v>
      </c>
      <c r="H68" s="19">
        <v>4</v>
      </c>
      <c r="I68" s="19" t="s">
        <v>1209</v>
      </c>
      <c r="J68" s="17" t="s">
        <v>13</v>
      </c>
      <c r="K68" s="17" t="s">
        <v>13</v>
      </c>
      <c r="L68" s="17" t="s">
        <v>13</v>
      </c>
      <c r="M68" s="17" t="s">
        <v>13</v>
      </c>
      <c r="N68" s="14" t="str">
        <f>+IF(OR($J68=0,$K68=0,$L68=0,$M68=0),"Không đủ ĐKDT","")</f>
        <v/>
      </c>
    </row>
    <row r="69" spans="2:14" ht="16.5" customHeight="1">
      <c r="B69" s="15">
        <v>60</v>
      </c>
      <c r="C69" s="22" t="s">
        <v>1297</v>
      </c>
      <c r="D69" s="10" t="s">
        <v>377</v>
      </c>
      <c r="E69" s="12" t="s">
        <v>352</v>
      </c>
      <c r="F69" s="20" t="s">
        <v>468</v>
      </c>
      <c r="G69" s="20" t="s">
        <v>397</v>
      </c>
      <c r="H69" s="20">
        <v>4</v>
      </c>
      <c r="I69" s="20" t="s">
        <v>1209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>+IF(OR($J69=0,$K69=0,$L69=0,$M69=0),"Không đủ ĐKDT","")</f>
        <v/>
      </c>
    </row>
    <row r="70" spans="2:14" ht="16.5" customHeight="1">
      <c r="B70" s="15">
        <v>61</v>
      </c>
      <c r="C70" s="22" t="s">
        <v>1298</v>
      </c>
      <c r="D70" s="10" t="s">
        <v>347</v>
      </c>
      <c r="E70" s="12" t="s">
        <v>158</v>
      </c>
      <c r="F70" s="20" t="s">
        <v>444</v>
      </c>
      <c r="G70" s="20" t="s">
        <v>397</v>
      </c>
      <c r="H70" s="20">
        <v>4</v>
      </c>
      <c r="I70" s="20" t="s">
        <v>1209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ref="N70:N76" si="2">+IF(OR($J70=0,$K70=0,$L70=0,$M70=0),"Không đủ ĐKDT","")</f>
        <v/>
      </c>
    </row>
    <row r="71" spans="2:14" ht="16.5" customHeight="1">
      <c r="B71" s="15">
        <v>62</v>
      </c>
      <c r="C71" s="22" t="s">
        <v>1299</v>
      </c>
      <c r="D71" s="10" t="s">
        <v>236</v>
      </c>
      <c r="E71" s="12" t="s">
        <v>158</v>
      </c>
      <c r="F71" s="20" t="s">
        <v>43</v>
      </c>
      <c r="G71" s="20" t="s">
        <v>397</v>
      </c>
      <c r="H71" s="20">
        <v>4</v>
      </c>
      <c r="I71" s="20" t="s">
        <v>1209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1300</v>
      </c>
      <c r="D72" s="10" t="s">
        <v>1301</v>
      </c>
      <c r="E72" s="12" t="s">
        <v>158</v>
      </c>
      <c r="F72" s="20" t="s">
        <v>412</v>
      </c>
      <c r="G72" s="20" t="s">
        <v>397</v>
      </c>
      <c r="H72" s="20">
        <v>4</v>
      </c>
      <c r="I72" s="20" t="s">
        <v>1209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1302</v>
      </c>
      <c r="D73" s="10" t="s">
        <v>139</v>
      </c>
      <c r="E73" s="12" t="s">
        <v>159</v>
      </c>
      <c r="F73" s="20" t="s">
        <v>410</v>
      </c>
      <c r="G73" s="20" t="s">
        <v>397</v>
      </c>
      <c r="H73" s="20">
        <v>4</v>
      </c>
      <c r="I73" s="20" t="s">
        <v>1209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1303</v>
      </c>
      <c r="D74" s="10" t="s">
        <v>1304</v>
      </c>
      <c r="E74" s="12" t="s">
        <v>1305</v>
      </c>
      <c r="F74" s="20" t="s">
        <v>456</v>
      </c>
      <c r="G74" s="20" t="s">
        <v>397</v>
      </c>
      <c r="H74" s="20">
        <v>4</v>
      </c>
      <c r="I74" s="20" t="s">
        <v>1209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1306</v>
      </c>
      <c r="D75" s="10" t="s">
        <v>68</v>
      </c>
      <c r="E75" s="12" t="s">
        <v>1305</v>
      </c>
      <c r="F75" s="20" t="s">
        <v>43</v>
      </c>
      <c r="G75" s="20" t="s">
        <v>397</v>
      </c>
      <c r="H75" s="20">
        <v>4</v>
      </c>
      <c r="I75" s="20" t="s">
        <v>1209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1307</v>
      </c>
      <c r="D76" s="10" t="s">
        <v>1308</v>
      </c>
      <c r="E76" s="12" t="s">
        <v>113</v>
      </c>
      <c r="F76" s="20" t="s">
        <v>444</v>
      </c>
      <c r="G76" s="20" t="s">
        <v>397</v>
      </c>
      <c r="H76" s="20">
        <v>4</v>
      </c>
      <c r="I76" s="20" t="s">
        <v>1209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1309</v>
      </c>
      <c r="D77" s="10" t="s">
        <v>227</v>
      </c>
      <c r="E77" s="12" t="s">
        <v>1059</v>
      </c>
      <c r="F77" s="20" t="s">
        <v>30</v>
      </c>
      <c r="G77" s="20" t="s">
        <v>397</v>
      </c>
      <c r="H77" s="20">
        <v>4</v>
      </c>
      <c r="I77" s="20" t="s">
        <v>1209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>+IF(OR($J77=0,$K77=0,$L77=0,$M77=0),"Không đủ ĐKDT","")</f>
        <v/>
      </c>
    </row>
    <row r="78" spans="2:14" ht="16.5" customHeight="1">
      <c r="B78" s="15">
        <v>69</v>
      </c>
      <c r="C78" s="22" t="s">
        <v>1310</v>
      </c>
      <c r="D78" s="10" t="s">
        <v>1311</v>
      </c>
      <c r="E78" s="12" t="s">
        <v>161</v>
      </c>
      <c r="F78" s="20" t="s">
        <v>468</v>
      </c>
      <c r="G78" s="20" t="s">
        <v>397</v>
      </c>
      <c r="H78" s="20">
        <v>4</v>
      </c>
      <c r="I78" s="20" t="s">
        <v>1209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ref="N78:N95" si="3">+IF(OR($J78=0,$K78=0,$L78=0,$M78=0),"Không đủ ĐKDT","")</f>
        <v/>
      </c>
    </row>
    <row r="79" spans="2:14" ht="16.5" customHeight="1">
      <c r="B79" s="15">
        <v>70</v>
      </c>
      <c r="C79" s="22" t="s">
        <v>1312</v>
      </c>
      <c r="D79" s="10" t="s">
        <v>1313</v>
      </c>
      <c r="E79" s="12" t="s">
        <v>161</v>
      </c>
      <c r="F79" s="20" t="s">
        <v>412</v>
      </c>
      <c r="G79" s="20" t="s">
        <v>397</v>
      </c>
      <c r="H79" s="20">
        <v>4</v>
      </c>
      <c r="I79" s="20" t="s">
        <v>1209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3"/>
        <v/>
      </c>
    </row>
    <row r="80" spans="2:14" ht="16.5" customHeight="1">
      <c r="B80" s="15">
        <v>71</v>
      </c>
      <c r="C80" s="22" t="s">
        <v>1314</v>
      </c>
      <c r="D80" s="10" t="s">
        <v>323</v>
      </c>
      <c r="E80" s="12" t="s">
        <v>1315</v>
      </c>
      <c r="F80" s="20" t="s">
        <v>410</v>
      </c>
      <c r="G80" s="20" t="s">
        <v>397</v>
      </c>
      <c r="H80" s="20">
        <v>4</v>
      </c>
      <c r="I80" s="20" t="s">
        <v>1209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3"/>
        <v/>
      </c>
    </row>
    <row r="81" spans="2:14" ht="16.5" customHeight="1">
      <c r="B81" s="15">
        <v>72</v>
      </c>
      <c r="C81" s="22" t="s">
        <v>118</v>
      </c>
      <c r="D81" s="10" t="s">
        <v>119</v>
      </c>
      <c r="E81" s="12" t="s">
        <v>120</v>
      </c>
      <c r="F81" s="20" t="s">
        <v>52</v>
      </c>
      <c r="G81" s="20" t="s">
        <v>397</v>
      </c>
      <c r="H81" s="20">
        <v>4</v>
      </c>
      <c r="I81" s="20" t="s">
        <v>1209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3"/>
        <v/>
      </c>
    </row>
    <row r="82" spans="2:14" ht="16.5" customHeight="1">
      <c r="B82" s="15">
        <v>73</v>
      </c>
      <c r="C82" s="22" t="s">
        <v>1316</v>
      </c>
      <c r="D82" s="10" t="s">
        <v>227</v>
      </c>
      <c r="E82" s="12" t="s">
        <v>120</v>
      </c>
      <c r="F82" s="20" t="s">
        <v>412</v>
      </c>
      <c r="G82" s="20" t="s">
        <v>397</v>
      </c>
      <c r="H82" s="20">
        <v>4</v>
      </c>
      <c r="I82" s="20" t="s">
        <v>1209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3"/>
        <v/>
      </c>
    </row>
    <row r="83" spans="2:14" ht="16.5" customHeight="1">
      <c r="B83" s="15">
        <v>74</v>
      </c>
      <c r="C83" s="22" t="s">
        <v>1317</v>
      </c>
      <c r="D83" s="10" t="s">
        <v>37</v>
      </c>
      <c r="E83" s="12" t="s">
        <v>1318</v>
      </c>
      <c r="F83" s="20" t="s">
        <v>432</v>
      </c>
      <c r="G83" s="20" t="s">
        <v>397</v>
      </c>
      <c r="H83" s="20">
        <v>4</v>
      </c>
      <c r="I83" s="20" t="s">
        <v>1209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3"/>
        <v/>
      </c>
    </row>
    <row r="84" spans="2:14" ht="16.5" customHeight="1">
      <c r="B84" s="15">
        <v>75</v>
      </c>
      <c r="C84" s="22" t="s">
        <v>1319</v>
      </c>
      <c r="D84" s="10" t="s">
        <v>76</v>
      </c>
      <c r="E84" s="12" t="s">
        <v>166</v>
      </c>
      <c r="F84" s="20" t="s">
        <v>43</v>
      </c>
      <c r="G84" s="20" t="s">
        <v>397</v>
      </c>
      <c r="H84" s="20">
        <v>4</v>
      </c>
      <c r="I84" s="20" t="s">
        <v>1209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3"/>
        <v/>
      </c>
    </row>
    <row r="85" spans="2:14" ht="16.5" customHeight="1">
      <c r="B85" s="15">
        <v>76</v>
      </c>
      <c r="C85" s="22" t="s">
        <v>1320</v>
      </c>
      <c r="D85" s="10" t="s">
        <v>1321</v>
      </c>
      <c r="E85" s="12" t="s">
        <v>166</v>
      </c>
      <c r="F85" s="20" t="s">
        <v>468</v>
      </c>
      <c r="G85" s="20" t="s">
        <v>397</v>
      </c>
      <c r="H85" s="20">
        <v>4</v>
      </c>
      <c r="I85" s="20" t="s">
        <v>1209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3"/>
        <v/>
      </c>
    </row>
    <row r="86" spans="2:14" ht="16.5" customHeight="1">
      <c r="B86" s="15">
        <v>77</v>
      </c>
      <c r="C86" s="22" t="s">
        <v>1322</v>
      </c>
      <c r="D86" s="10" t="s">
        <v>281</v>
      </c>
      <c r="E86" s="12" t="s">
        <v>122</v>
      </c>
      <c r="F86" s="20" t="s">
        <v>1115</v>
      </c>
      <c r="G86" s="20" t="s">
        <v>397</v>
      </c>
      <c r="H86" s="20">
        <v>4</v>
      </c>
      <c r="I86" s="20" t="s">
        <v>1209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3"/>
        <v/>
      </c>
    </row>
    <row r="87" spans="2:14" ht="16.5" customHeight="1">
      <c r="B87" s="15">
        <v>78</v>
      </c>
      <c r="C87" s="22" t="s">
        <v>1323</v>
      </c>
      <c r="D87" s="10" t="s">
        <v>139</v>
      </c>
      <c r="E87" s="12" t="s">
        <v>122</v>
      </c>
      <c r="F87" s="20" t="s">
        <v>468</v>
      </c>
      <c r="G87" s="20" t="s">
        <v>397</v>
      </c>
      <c r="H87" s="20">
        <v>4</v>
      </c>
      <c r="I87" s="20" t="s">
        <v>1209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3"/>
        <v/>
      </c>
    </row>
    <row r="88" spans="2:14" ht="16.5" customHeight="1">
      <c r="B88" s="15">
        <v>79</v>
      </c>
      <c r="C88" s="22" t="s">
        <v>1324</v>
      </c>
      <c r="D88" s="10" t="s">
        <v>1325</v>
      </c>
      <c r="E88" s="12" t="s">
        <v>128</v>
      </c>
      <c r="F88" s="20" t="s">
        <v>410</v>
      </c>
      <c r="G88" s="20" t="s">
        <v>397</v>
      </c>
      <c r="H88" s="20">
        <v>4</v>
      </c>
      <c r="I88" s="20" t="s">
        <v>1209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3"/>
        <v/>
      </c>
    </row>
    <row r="89" spans="2:14" ht="16.5" customHeight="1">
      <c r="B89" s="15">
        <v>80</v>
      </c>
      <c r="C89" s="22" t="s">
        <v>1326</v>
      </c>
      <c r="D89" s="10" t="s">
        <v>127</v>
      </c>
      <c r="E89" s="12" t="s">
        <v>128</v>
      </c>
      <c r="F89" s="20" t="s">
        <v>444</v>
      </c>
      <c r="G89" s="20" t="s">
        <v>397</v>
      </c>
      <c r="H89" s="20">
        <v>4</v>
      </c>
      <c r="I89" s="20" t="s">
        <v>1209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3"/>
        <v/>
      </c>
    </row>
    <row r="90" spans="2:14" ht="16.5" customHeight="1">
      <c r="B90" s="15">
        <v>81</v>
      </c>
      <c r="C90" s="22" t="s">
        <v>1327</v>
      </c>
      <c r="D90" s="10" t="s">
        <v>1328</v>
      </c>
      <c r="E90" s="12" t="s">
        <v>1201</v>
      </c>
      <c r="F90" s="20" t="s">
        <v>410</v>
      </c>
      <c r="G90" s="20" t="s">
        <v>397</v>
      </c>
      <c r="H90" s="20">
        <v>4</v>
      </c>
      <c r="I90" s="20" t="s">
        <v>1209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3"/>
        <v/>
      </c>
    </row>
    <row r="91" spans="2:14" ht="16.5" customHeight="1">
      <c r="B91" s="15">
        <v>82</v>
      </c>
      <c r="C91" s="22" t="s">
        <v>1329</v>
      </c>
      <c r="D91" s="10" t="s">
        <v>1330</v>
      </c>
      <c r="E91" s="12" t="s">
        <v>203</v>
      </c>
      <c r="F91" s="20" t="s">
        <v>405</v>
      </c>
      <c r="G91" s="20" t="s">
        <v>397</v>
      </c>
      <c r="H91" s="20">
        <v>4</v>
      </c>
      <c r="I91" s="20" t="s">
        <v>1209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3"/>
        <v/>
      </c>
    </row>
    <row r="92" spans="2:14" ht="16.5" customHeight="1">
      <c r="B92" s="15">
        <v>83</v>
      </c>
      <c r="C92" s="22" t="s">
        <v>1331</v>
      </c>
      <c r="D92" s="10" t="s">
        <v>68</v>
      </c>
      <c r="E92" s="12" t="s">
        <v>203</v>
      </c>
      <c r="F92" s="20" t="s">
        <v>468</v>
      </c>
      <c r="G92" s="20" t="s">
        <v>397</v>
      </c>
      <c r="H92" s="20">
        <v>4</v>
      </c>
      <c r="I92" s="20" t="s">
        <v>1209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3"/>
        <v/>
      </c>
    </row>
    <row r="93" spans="2:14" ht="16.5" customHeight="1">
      <c r="B93" s="15">
        <v>84</v>
      </c>
      <c r="C93" s="22" t="s">
        <v>1332</v>
      </c>
      <c r="D93" s="10" t="s">
        <v>364</v>
      </c>
      <c r="E93" s="12" t="s">
        <v>203</v>
      </c>
      <c r="F93" s="20" t="s">
        <v>412</v>
      </c>
      <c r="G93" s="20" t="s">
        <v>397</v>
      </c>
      <c r="H93" s="20">
        <v>4</v>
      </c>
      <c r="I93" s="20" t="s">
        <v>1209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3"/>
        <v/>
      </c>
    </row>
    <row r="94" spans="2:14" ht="16.5" customHeight="1">
      <c r="B94" s="15">
        <v>85</v>
      </c>
      <c r="C94" s="22" t="s">
        <v>1333</v>
      </c>
      <c r="D94" s="10" t="s">
        <v>264</v>
      </c>
      <c r="E94" s="12" t="s">
        <v>671</v>
      </c>
      <c r="F94" s="20" t="s">
        <v>432</v>
      </c>
      <c r="G94" s="20" t="s">
        <v>397</v>
      </c>
      <c r="H94" s="20">
        <v>4</v>
      </c>
      <c r="I94" s="20" t="s">
        <v>1209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3"/>
        <v/>
      </c>
    </row>
    <row r="95" spans="2:14" ht="16.5" customHeight="1">
      <c r="B95" s="15">
        <v>86</v>
      </c>
      <c r="C95" s="22" t="s">
        <v>1334</v>
      </c>
      <c r="D95" s="10" t="s">
        <v>603</v>
      </c>
      <c r="E95" s="12" t="s">
        <v>173</v>
      </c>
      <c r="F95" s="20" t="s">
        <v>468</v>
      </c>
      <c r="G95" s="20" t="s">
        <v>397</v>
      </c>
      <c r="H95" s="20">
        <v>4</v>
      </c>
      <c r="I95" s="20" t="s">
        <v>1209</v>
      </c>
      <c r="J95" s="18" t="s">
        <v>13</v>
      </c>
      <c r="K95" s="18" t="s">
        <v>13</v>
      </c>
      <c r="L95" s="18" t="s">
        <v>13</v>
      </c>
      <c r="M95" s="18" t="s">
        <v>13</v>
      </c>
      <c r="N95" s="16" t="str">
        <f t="shared" si="3"/>
        <v/>
      </c>
    </row>
    <row r="96" spans="2:14" ht="19.5" customHeight="1">
      <c r="B96" s="64" t="s">
        <v>20</v>
      </c>
      <c r="C96" s="64"/>
      <c r="D96" s="64"/>
      <c r="E96" s="64"/>
    </row>
    <row r="97" spans="2:14" ht="19.5" customHeight="1">
      <c r="B97" s="55" t="str">
        <f>"Điểm chuyên cần: " &amp; $J$9 &amp; "% "</f>
        <v xml:space="preserve">Điểm chuyên cần: % </v>
      </c>
      <c r="C97" s="55"/>
      <c r="D97" s="55"/>
      <c r="E97" s="55"/>
    </row>
    <row r="98" spans="2:14" ht="19.5" customHeight="1">
      <c r="B98" s="55" t="str">
        <f>"Điểm trung bình kiểm tra: "&amp;$K$9&amp;"%"</f>
        <v>Điểm trung bình kiểm tra: %</v>
      </c>
      <c r="C98" s="55"/>
      <c r="D98" s="55"/>
      <c r="E98" s="55"/>
    </row>
    <row r="99" spans="2:14" ht="19.5" customHeight="1">
      <c r="B99" s="55" t="str">
        <f>"Điểm thí nghiệm, thực hành: "&amp;$L$9&amp;"%"</f>
        <v>Điểm thí nghiệm, thực hành: %</v>
      </c>
      <c r="C99" s="55"/>
      <c r="D99" s="55"/>
      <c r="E99" s="55"/>
    </row>
    <row r="100" spans="2:14" ht="19.5" customHeight="1">
      <c r="B100" s="55" t="str">
        <f>"Điểm bài tập tiểu luận, seminar: "&amp;$M$9&amp;"%"</f>
        <v>Điểm bài tập tiểu luận, seminar: %</v>
      </c>
      <c r="C100" s="55"/>
      <c r="D100" s="55"/>
      <c r="E100" s="55"/>
    </row>
    <row r="101" spans="2:14">
      <c r="J101" s="56" t="s">
        <v>21</v>
      </c>
      <c r="K101" s="56"/>
      <c r="L101" s="56"/>
      <c r="M101" s="56"/>
      <c r="N101" s="56"/>
    </row>
    <row r="102" spans="2:14" ht="32.25" customHeight="1">
      <c r="B102" s="57" t="s">
        <v>17</v>
      </c>
      <c r="C102" s="57"/>
      <c r="D102" s="57"/>
      <c r="E102" s="57"/>
      <c r="F102" s="30"/>
      <c r="G102" s="30"/>
      <c r="H102" s="30"/>
      <c r="I102" s="30"/>
      <c r="J102" s="57" t="s">
        <v>18</v>
      </c>
      <c r="K102" s="57"/>
      <c r="L102" s="57"/>
      <c r="M102" s="57"/>
      <c r="N102" s="57"/>
    </row>
    <row r="108" spans="2:14">
      <c r="J108" s="58"/>
      <c r="K108" s="58"/>
      <c r="L108" s="58"/>
      <c r="M108" s="58"/>
      <c r="N108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B1:I1"/>
    <mergeCell ref="J1:N2"/>
    <mergeCell ref="B2:C2"/>
    <mergeCell ref="D2:E2"/>
    <mergeCell ref="B3:C3"/>
    <mergeCell ref="D3:E3"/>
    <mergeCell ref="J3:N3"/>
    <mergeCell ref="B4:C4"/>
    <mergeCell ref="D4:K4"/>
    <mergeCell ref="L4:M4"/>
    <mergeCell ref="B5:C5"/>
    <mergeCell ref="J5:M5"/>
    <mergeCell ref="B99:E99"/>
    <mergeCell ref="H7:H8"/>
    <mergeCell ref="I7:I8"/>
    <mergeCell ref="J7:J8"/>
    <mergeCell ref="K7:K8"/>
    <mergeCell ref="B7:B8"/>
    <mergeCell ref="C7:C8"/>
    <mergeCell ref="D7:E8"/>
    <mergeCell ref="F7:F8"/>
    <mergeCell ref="G7:G8"/>
    <mergeCell ref="N7:N9"/>
    <mergeCell ref="B9:I9"/>
    <mergeCell ref="B96:E96"/>
    <mergeCell ref="B97:E97"/>
    <mergeCell ref="B98:E98"/>
    <mergeCell ref="L7:L8"/>
    <mergeCell ref="M7:M8"/>
    <mergeCell ref="B100:E100"/>
    <mergeCell ref="J101:N101"/>
    <mergeCell ref="B102:E102"/>
    <mergeCell ref="J102:N102"/>
    <mergeCell ref="J108:N108"/>
  </mergeCells>
  <conditionalFormatting sqref="J10:M10">
    <cfRule type="cellIs" dxfId="177" priority="63" stopIfTrue="1" operator="greaterThan">
      <formula>10</formula>
    </cfRule>
    <cfRule type="cellIs" dxfId="176" priority="64" stopIfTrue="1" operator="greaterThan">
      <formula>10</formula>
    </cfRule>
    <cfRule type="cellIs" dxfId="175" priority="65" stopIfTrue="1" operator="greaterThan">
      <formula>10</formula>
    </cfRule>
    <cfRule type="cellIs" dxfId="174" priority="66" stopIfTrue="1" operator="greaterThan">
      <formula>10</formula>
    </cfRule>
  </conditionalFormatting>
  <conditionalFormatting sqref="J11:M13">
    <cfRule type="cellIs" dxfId="173" priority="59" stopIfTrue="1" operator="greaterThan">
      <formula>10</formula>
    </cfRule>
    <cfRule type="cellIs" dxfId="172" priority="60" stopIfTrue="1" operator="greaterThan">
      <formula>10</formula>
    </cfRule>
    <cfRule type="cellIs" dxfId="171" priority="61" stopIfTrue="1" operator="greaterThan">
      <formula>10</formula>
    </cfRule>
    <cfRule type="cellIs" dxfId="170" priority="62" stopIfTrue="1" operator="greaterThan">
      <formula>10</formula>
    </cfRule>
  </conditionalFormatting>
  <conditionalFormatting sqref="J14:M23 J31:M38">
    <cfRule type="cellIs" dxfId="169" priority="55" stopIfTrue="1" operator="greaterThan">
      <formula>10</formula>
    </cfRule>
    <cfRule type="cellIs" dxfId="168" priority="56" stopIfTrue="1" operator="greaterThan">
      <formula>10</formula>
    </cfRule>
    <cfRule type="cellIs" dxfId="167" priority="57" stopIfTrue="1" operator="greaterThan">
      <formula>10</formula>
    </cfRule>
    <cfRule type="cellIs" dxfId="166" priority="58" stopIfTrue="1" operator="greaterThan">
      <formula>10</formula>
    </cfRule>
  </conditionalFormatting>
  <conditionalFormatting sqref="J24:M30">
    <cfRule type="cellIs" dxfId="165" priority="49" stopIfTrue="1" operator="greaterThan">
      <formula>10</formula>
    </cfRule>
    <cfRule type="cellIs" dxfId="164" priority="50" stopIfTrue="1" operator="greaterThan">
      <formula>10</formula>
    </cfRule>
    <cfRule type="cellIs" dxfId="163" priority="51" stopIfTrue="1" operator="greaterThan">
      <formula>10</formula>
    </cfRule>
    <cfRule type="cellIs" dxfId="162" priority="52" stopIfTrue="1" operator="greaterThan">
      <formula>10</formula>
    </cfRule>
  </conditionalFormatting>
  <conditionalFormatting sqref="C24:C30">
    <cfRule type="duplicateValues" dxfId="161" priority="53" stopIfTrue="1"/>
    <cfRule type="duplicateValues" dxfId="160" priority="54" stopIfTrue="1"/>
  </conditionalFormatting>
  <conditionalFormatting sqref="C10:C23 C31:C38">
    <cfRule type="duplicateValues" dxfId="159" priority="223" stopIfTrue="1"/>
    <cfRule type="duplicateValues" dxfId="158" priority="224" stopIfTrue="1"/>
  </conditionalFormatting>
  <conditionalFormatting sqref="J39:M39">
    <cfRule type="cellIs" dxfId="157" priority="43" stopIfTrue="1" operator="greaterThan">
      <formula>10</formula>
    </cfRule>
    <cfRule type="cellIs" dxfId="156" priority="44" stopIfTrue="1" operator="greaterThan">
      <formula>10</formula>
    </cfRule>
    <cfRule type="cellIs" dxfId="155" priority="45" stopIfTrue="1" operator="greaterThan">
      <formula>10</formula>
    </cfRule>
    <cfRule type="cellIs" dxfId="154" priority="46" stopIfTrue="1" operator="greaterThan">
      <formula>10</formula>
    </cfRule>
  </conditionalFormatting>
  <conditionalFormatting sqref="J40:M40 J48:M49">
    <cfRule type="cellIs" dxfId="153" priority="39" stopIfTrue="1" operator="greaterThan">
      <formula>10</formula>
    </cfRule>
    <cfRule type="cellIs" dxfId="152" priority="40" stopIfTrue="1" operator="greaterThan">
      <formula>10</formula>
    </cfRule>
    <cfRule type="cellIs" dxfId="151" priority="41" stopIfTrue="1" operator="greaterThan">
      <formula>10</formula>
    </cfRule>
    <cfRule type="cellIs" dxfId="150" priority="42" stopIfTrue="1" operator="greaterThan">
      <formula>10</formula>
    </cfRule>
  </conditionalFormatting>
  <conditionalFormatting sqref="J50:M67">
    <cfRule type="cellIs" dxfId="149" priority="35" stopIfTrue="1" operator="greaterThan">
      <formula>10</formula>
    </cfRule>
    <cfRule type="cellIs" dxfId="148" priority="36" stopIfTrue="1" operator="greaterThan">
      <formula>10</formula>
    </cfRule>
    <cfRule type="cellIs" dxfId="147" priority="37" stopIfTrue="1" operator="greaterThan">
      <formula>10</formula>
    </cfRule>
    <cfRule type="cellIs" dxfId="146" priority="38" stopIfTrue="1" operator="greaterThan">
      <formula>10</formula>
    </cfRule>
  </conditionalFormatting>
  <conditionalFormatting sqref="J41:M42">
    <cfRule type="cellIs" dxfId="145" priority="29" stopIfTrue="1" operator="greaterThan">
      <formula>10</formula>
    </cfRule>
    <cfRule type="cellIs" dxfId="144" priority="30" stopIfTrue="1" operator="greaterThan">
      <formula>10</formula>
    </cfRule>
    <cfRule type="cellIs" dxfId="143" priority="31" stopIfTrue="1" operator="greaterThan">
      <formula>10</formula>
    </cfRule>
    <cfRule type="cellIs" dxfId="142" priority="32" stopIfTrue="1" operator="greaterThan">
      <formula>10</formula>
    </cfRule>
  </conditionalFormatting>
  <conditionalFormatting sqref="J43:M47">
    <cfRule type="cellIs" dxfId="141" priority="25" stopIfTrue="1" operator="greaterThan">
      <formula>10</formula>
    </cfRule>
    <cfRule type="cellIs" dxfId="140" priority="26" stopIfTrue="1" operator="greaterThan">
      <formula>10</formula>
    </cfRule>
    <cfRule type="cellIs" dxfId="139" priority="27" stopIfTrue="1" operator="greaterThan">
      <formula>10</formula>
    </cfRule>
    <cfRule type="cellIs" dxfId="138" priority="28" stopIfTrue="1" operator="greaterThan">
      <formula>10</formula>
    </cfRule>
  </conditionalFormatting>
  <conditionalFormatting sqref="C41:C47">
    <cfRule type="duplicateValues" dxfId="137" priority="33" stopIfTrue="1"/>
    <cfRule type="duplicateValues" dxfId="136" priority="34" stopIfTrue="1"/>
  </conditionalFormatting>
  <conditionalFormatting sqref="C39:C40 C48:C67">
    <cfRule type="duplicateValues" dxfId="135" priority="47" stopIfTrue="1"/>
    <cfRule type="duplicateValues" dxfId="134" priority="48" stopIfTrue="1"/>
  </conditionalFormatting>
  <conditionalFormatting sqref="J68:M68">
    <cfRule type="cellIs" dxfId="133" priority="19" stopIfTrue="1" operator="greaterThan">
      <formula>10</formula>
    </cfRule>
    <cfRule type="cellIs" dxfId="132" priority="20" stopIfTrue="1" operator="greaterThan">
      <formula>10</formula>
    </cfRule>
    <cfRule type="cellIs" dxfId="131" priority="21" stopIfTrue="1" operator="greaterThan">
      <formula>10</formula>
    </cfRule>
    <cfRule type="cellIs" dxfId="130" priority="22" stopIfTrue="1" operator="greaterThan">
      <formula>10</formula>
    </cfRule>
  </conditionalFormatting>
  <conditionalFormatting sqref="J77:M79">
    <cfRule type="cellIs" dxfId="129" priority="15" stopIfTrue="1" operator="greaterThan">
      <formula>10</formula>
    </cfRule>
    <cfRule type="cellIs" dxfId="128" priority="16" stopIfTrue="1" operator="greaterThan">
      <formula>10</formula>
    </cfRule>
    <cfRule type="cellIs" dxfId="127" priority="17" stopIfTrue="1" operator="greaterThan">
      <formula>10</formula>
    </cfRule>
    <cfRule type="cellIs" dxfId="126" priority="18" stopIfTrue="1" operator="greaterThan">
      <formula>10</formula>
    </cfRule>
  </conditionalFormatting>
  <conditionalFormatting sqref="J80:M95">
    <cfRule type="cellIs" dxfId="125" priority="11" stopIfTrue="1" operator="greaterThan">
      <formula>10</formula>
    </cfRule>
    <cfRule type="cellIs" dxfId="124" priority="12" stopIfTrue="1" operator="greaterThan">
      <formula>10</formula>
    </cfRule>
    <cfRule type="cellIs" dxfId="123" priority="13" stopIfTrue="1" operator="greaterThan">
      <formula>10</formula>
    </cfRule>
    <cfRule type="cellIs" dxfId="122" priority="14" stopIfTrue="1" operator="greaterThan">
      <formula>10</formula>
    </cfRule>
  </conditionalFormatting>
  <conditionalFormatting sqref="J69:M71">
    <cfRule type="cellIs" dxfId="121" priority="5" stopIfTrue="1" operator="greaterThan">
      <formula>10</formula>
    </cfRule>
    <cfRule type="cellIs" dxfId="120" priority="6" stopIfTrue="1" operator="greaterThan">
      <formula>10</formula>
    </cfRule>
    <cfRule type="cellIs" dxfId="119" priority="7" stopIfTrue="1" operator="greaterThan">
      <formula>10</formula>
    </cfRule>
    <cfRule type="cellIs" dxfId="118" priority="8" stopIfTrue="1" operator="greaterThan">
      <formula>10</formula>
    </cfRule>
  </conditionalFormatting>
  <conditionalFormatting sqref="J72:M76">
    <cfRule type="cellIs" dxfId="117" priority="1" stopIfTrue="1" operator="greaterThan">
      <formula>10</formula>
    </cfRule>
    <cfRule type="cellIs" dxfId="116" priority="2" stopIfTrue="1" operator="greaterThan">
      <formula>10</formula>
    </cfRule>
    <cfRule type="cellIs" dxfId="115" priority="3" stopIfTrue="1" operator="greaterThan">
      <formula>10</formula>
    </cfRule>
    <cfRule type="cellIs" dxfId="114" priority="4" stopIfTrue="1" operator="greaterThan">
      <formula>10</formula>
    </cfRule>
  </conditionalFormatting>
  <conditionalFormatting sqref="C69:C76">
    <cfRule type="duplicateValues" dxfId="113" priority="9" stopIfTrue="1"/>
    <cfRule type="duplicateValues" dxfId="112" priority="10" stopIfTrue="1"/>
  </conditionalFormatting>
  <conditionalFormatting sqref="C68 C77:C95">
    <cfRule type="duplicateValues" dxfId="111" priority="23" stopIfTrue="1"/>
    <cfRule type="duplicateValues" dxfId="110" priority="24" stopIfTrue="1"/>
  </conditionalFormatting>
  <dataValidations count="1">
    <dataValidation type="decimal" allowBlank="1" showInputMessage="1" showErrorMessage="1" error="Sai định dạng" sqref="J10:M95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B1:N109"/>
  <sheetViews>
    <sheetView topLeftCell="A88" workbookViewId="0">
      <selection activeCell="Q100" sqref="Q100"/>
    </sheetView>
  </sheetViews>
  <sheetFormatPr defaultColWidth="9" defaultRowHeight="15.75"/>
  <cols>
    <col min="1" max="1" width="0.125" style="1" customWidth="1"/>
    <col min="2" max="2" width="4" style="1" customWidth="1"/>
    <col min="3" max="3" width="12.375" style="24" customWidth="1"/>
    <col min="4" max="4" width="18" style="1" customWidth="1"/>
    <col min="5" max="5" width="11.375" style="1" customWidth="1"/>
    <col min="6" max="6" width="13.625" style="1" customWidth="1"/>
    <col min="7" max="9" width="13.625" style="1" hidden="1" customWidth="1"/>
    <col min="10" max="13" width="4.25" style="1" customWidth="1"/>
    <col min="14" max="14" width="17.875" style="1" customWidth="1"/>
    <col min="15" max="16384" width="9" style="1"/>
  </cols>
  <sheetData>
    <row r="1" spans="2:14" ht="20.25" customHeight="1">
      <c r="B1" s="84" t="s">
        <v>0</v>
      </c>
      <c r="C1" s="84"/>
      <c r="D1" s="84"/>
      <c r="E1" s="84"/>
      <c r="F1" s="84"/>
      <c r="G1" s="84"/>
      <c r="H1" s="84"/>
      <c r="I1" s="84"/>
      <c r="J1" s="85" t="s">
        <v>16</v>
      </c>
      <c r="K1" s="85"/>
      <c r="L1" s="85"/>
      <c r="M1" s="85"/>
      <c r="N1" s="85"/>
    </row>
    <row r="2" spans="2:14" ht="15.75" customHeight="1">
      <c r="B2" s="86" t="s">
        <v>14</v>
      </c>
      <c r="C2" s="86"/>
      <c r="D2" s="87" t="s">
        <v>349</v>
      </c>
      <c r="E2" s="87"/>
      <c r="F2" s="26"/>
      <c r="G2" s="26"/>
      <c r="H2" s="26"/>
      <c r="I2" s="26"/>
      <c r="J2" s="85"/>
      <c r="K2" s="85"/>
      <c r="L2" s="85"/>
      <c r="M2" s="85"/>
      <c r="N2" s="85"/>
    </row>
    <row r="3" spans="2:14">
      <c r="B3" s="88" t="s">
        <v>15</v>
      </c>
      <c r="C3" s="88"/>
      <c r="D3" s="84"/>
      <c r="E3" s="84"/>
      <c r="F3" s="25"/>
      <c r="G3" s="25"/>
      <c r="H3" s="25"/>
      <c r="I3" s="25"/>
      <c r="J3" s="89" t="s">
        <v>22</v>
      </c>
      <c r="K3" s="89"/>
      <c r="L3" s="89"/>
      <c r="M3" s="89"/>
      <c r="N3" s="89"/>
    </row>
    <row r="4" spans="2:14" ht="23.25" customHeight="1">
      <c r="B4" s="79" t="s">
        <v>1</v>
      </c>
      <c r="C4" s="79"/>
      <c r="D4" s="80" t="str">
        <f>G10</f>
        <v>Vật lý 1 và thí nghiệm</v>
      </c>
      <c r="E4" s="80"/>
      <c r="F4" s="80"/>
      <c r="G4" s="80"/>
      <c r="H4" s="80"/>
      <c r="I4" s="80"/>
      <c r="J4" s="80"/>
      <c r="K4" s="80"/>
      <c r="L4" s="81" t="s">
        <v>19</v>
      </c>
      <c r="M4" s="81"/>
      <c r="N4" s="7" t="str">
        <f>I10</f>
        <v>BAS1224_01</v>
      </c>
    </row>
    <row r="5" spans="2:14" ht="17.25" customHeight="1">
      <c r="B5" s="82" t="s">
        <v>2</v>
      </c>
      <c r="C5" s="82"/>
      <c r="D5" s="3">
        <f>H10</f>
        <v>4</v>
      </c>
      <c r="J5" s="83"/>
      <c r="K5" s="83"/>
      <c r="L5" s="83"/>
      <c r="M5" s="83"/>
      <c r="N5" s="23"/>
    </row>
    <row r="6" spans="2:14" ht="5.25" customHeight="1">
      <c r="B6" s="4"/>
      <c r="C6" s="8"/>
      <c r="D6" s="4"/>
      <c r="E6" s="4"/>
      <c r="F6" s="4"/>
      <c r="G6" s="4"/>
      <c r="H6" s="4"/>
      <c r="I6" s="4"/>
      <c r="J6" s="4"/>
      <c r="K6" s="4"/>
      <c r="L6" s="4"/>
      <c r="M6" s="4"/>
      <c r="N6" s="2"/>
    </row>
    <row r="7" spans="2:14" ht="44.25" customHeight="1">
      <c r="B7" s="59" t="s">
        <v>3</v>
      </c>
      <c r="C7" s="71" t="s">
        <v>4</v>
      </c>
      <c r="D7" s="73" t="s">
        <v>5</v>
      </c>
      <c r="E7" s="74"/>
      <c r="F7" s="59" t="s">
        <v>6</v>
      </c>
      <c r="G7" s="77" t="s">
        <v>23</v>
      </c>
      <c r="H7" s="67" t="s">
        <v>24</v>
      </c>
      <c r="I7" s="69" t="s">
        <v>25</v>
      </c>
      <c r="J7" s="65" t="s">
        <v>7</v>
      </c>
      <c r="K7" s="65" t="s">
        <v>8</v>
      </c>
      <c r="L7" s="65" t="s">
        <v>9</v>
      </c>
      <c r="M7" s="65" t="s">
        <v>10</v>
      </c>
      <c r="N7" s="59" t="s">
        <v>11</v>
      </c>
    </row>
    <row r="8" spans="2:14" ht="44.25" customHeight="1">
      <c r="B8" s="61"/>
      <c r="C8" s="72"/>
      <c r="D8" s="75"/>
      <c r="E8" s="76"/>
      <c r="F8" s="61"/>
      <c r="G8" s="78"/>
      <c r="H8" s="68"/>
      <c r="I8" s="70"/>
      <c r="J8" s="66"/>
      <c r="K8" s="66"/>
      <c r="L8" s="66"/>
      <c r="M8" s="66"/>
      <c r="N8" s="60"/>
    </row>
    <row r="9" spans="2:14" ht="14.25" customHeight="1">
      <c r="B9" s="62" t="s">
        <v>12</v>
      </c>
      <c r="C9" s="63"/>
      <c r="D9" s="63"/>
      <c r="E9" s="63"/>
      <c r="F9" s="63"/>
      <c r="G9" s="63"/>
      <c r="H9" s="63"/>
      <c r="I9" s="63"/>
      <c r="J9" s="5"/>
      <c r="K9" s="5"/>
      <c r="L9" s="6"/>
      <c r="M9" s="5"/>
      <c r="N9" s="61"/>
    </row>
    <row r="10" spans="2:14" ht="16.5" customHeight="1">
      <c r="B10" s="13">
        <v>1</v>
      </c>
      <c r="C10" s="21" t="s">
        <v>1078</v>
      </c>
      <c r="D10" s="9" t="s">
        <v>1079</v>
      </c>
      <c r="E10" s="11" t="s">
        <v>27</v>
      </c>
      <c r="F10" s="19" t="s">
        <v>396</v>
      </c>
      <c r="G10" s="19" t="s">
        <v>397</v>
      </c>
      <c r="H10" s="19">
        <v>4</v>
      </c>
      <c r="I10" s="19" t="s">
        <v>1080</v>
      </c>
      <c r="J10" s="17" t="s">
        <v>13</v>
      </c>
      <c r="K10" s="17" t="s">
        <v>13</v>
      </c>
      <c r="L10" s="17" t="s">
        <v>13</v>
      </c>
      <c r="M10" s="17" t="s">
        <v>13</v>
      </c>
      <c r="N10" s="14" t="str">
        <f>+IF(OR($J10=0,$K10=0,$L10=0,$M10=0),"Không đủ ĐKDT","")</f>
        <v/>
      </c>
    </row>
    <row r="11" spans="2:14" ht="16.5" customHeight="1">
      <c r="B11" s="15">
        <v>2</v>
      </c>
      <c r="C11" s="22" t="s">
        <v>1081</v>
      </c>
      <c r="D11" s="10" t="s">
        <v>1082</v>
      </c>
      <c r="E11" s="12" t="s">
        <v>27</v>
      </c>
      <c r="F11" s="20" t="s">
        <v>444</v>
      </c>
      <c r="G11" s="20" t="s">
        <v>397</v>
      </c>
      <c r="H11" s="20">
        <v>4</v>
      </c>
      <c r="I11" s="20" t="s">
        <v>1080</v>
      </c>
      <c r="J11" s="18" t="s">
        <v>13</v>
      </c>
      <c r="K11" s="18" t="s">
        <v>13</v>
      </c>
      <c r="L11" s="18" t="s">
        <v>13</v>
      </c>
      <c r="M11" s="18" t="s">
        <v>13</v>
      </c>
      <c r="N11" s="16" t="str">
        <f>+IF(OR($J11=0,$K11=0,$L11=0,$M11=0),"Không đủ ĐKDT","")</f>
        <v/>
      </c>
    </row>
    <row r="12" spans="2:14" ht="16.5" customHeight="1">
      <c r="B12" s="15">
        <v>3</v>
      </c>
      <c r="C12" s="22" t="s">
        <v>1083</v>
      </c>
      <c r="D12" s="10" t="s">
        <v>1084</v>
      </c>
      <c r="E12" s="12" t="s">
        <v>27</v>
      </c>
      <c r="F12" s="20" t="s">
        <v>405</v>
      </c>
      <c r="G12" s="20" t="s">
        <v>397</v>
      </c>
      <c r="H12" s="20">
        <v>4</v>
      </c>
      <c r="I12" s="20" t="s">
        <v>1080</v>
      </c>
      <c r="J12" s="18" t="s">
        <v>13</v>
      </c>
      <c r="K12" s="18" t="s">
        <v>13</v>
      </c>
      <c r="L12" s="18" t="s">
        <v>13</v>
      </c>
      <c r="M12" s="18" t="s">
        <v>13</v>
      </c>
      <c r="N12" s="16" t="str">
        <f t="shared" ref="N12:N38" si="0">+IF(OR($J12=0,$K12=0,$L12=0,$M12=0),"Không đủ ĐKDT","")</f>
        <v/>
      </c>
    </row>
    <row r="13" spans="2:14" ht="16.5" customHeight="1">
      <c r="B13" s="15">
        <v>4</v>
      </c>
      <c r="C13" s="22" t="s">
        <v>1085</v>
      </c>
      <c r="D13" s="10" t="s">
        <v>29</v>
      </c>
      <c r="E13" s="12" t="s">
        <v>27</v>
      </c>
      <c r="F13" s="20" t="s">
        <v>444</v>
      </c>
      <c r="G13" s="20" t="s">
        <v>397</v>
      </c>
      <c r="H13" s="20">
        <v>4</v>
      </c>
      <c r="I13" s="20" t="s">
        <v>1080</v>
      </c>
      <c r="J13" s="18" t="s">
        <v>13</v>
      </c>
      <c r="K13" s="18" t="s">
        <v>13</v>
      </c>
      <c r="L13" s="18" t="s">
        <v>13</v>
      </c>
      <c r="M13" s="18" t="s">
        <v>13</v>
      </c>
      <c r="N13" s="16" t="str">
        <f t="shared" si="0"/>
        <v/>
      </c>
    </row>
    <row r="14" spans="2:14" ht="16.5" customHeight="1">
      <c r="B14" s="15">
        <v>5</v>
      </c>
      <c r="C14" s="22" t="s">
        <v>1086</v>
      </c>
      <c r="D14" s="10" t="s">
        <v>207</v>
      </c>
      <c r="E14" s="12" t="s">
        <v>27</v>
      </c>
      <c r="F14" s="20" t="s">
        <v>456</v>
      </c>
      <c r="G14" s="20" t="s">
        <v>397</v>
      </c>
      <c r="H14" s="20">
        <v>4</v>
      </c>
      <c r="I14" s="20" t="s">
        <v>1080</v>
      </c>
      <c r="J14" s="18" t="s">
        <v>13</v>
      </c>
      <c r="K14" s="18" t="s">
        <v>13</v>
      </c>
      <c r="L14" s="18" t="s">
        <v>13</v>
      </c>
      <c r="M14" s="18" t="s">
        <v>13</v>
      </c>
      <c r="N14" s="16" t="str">
        <f t="shared" si="0"/>
        <v/>
      </c>
    </row>
    <row r="15" spans="2:14" ht="16.5" customHeight="1">
      <c r="B15" s="15">
        <v>6</v>
      </c>
      <c r="C15" s="22" t="s">
        <v>1087</v>
      </c>
      <c r="D15" s="10" t="s">
        <v>1088</v>
      </c>
      <c r="E15" s="12" t="s">
        <v>957</v>
      </c>
      <c r="F15" s="20" t="s">
        <v>38</v>
      </c>
      <c r="G15" s="20" t="s">
        <v>397</v>
      </c>
      <c r="H15" s="20">
        <v>4</v>
      </c>
      <c r="I15" s="20" t="s">
        <v>1080</v>
      </c>
      <c r="J15" s="18" t="s">
        <v>13</v>
      </c>
      <c r="K15" s="18" t="s">
        <v>13</v>
      </c>
      <c r="L15" s="18" t="s">
        <v>13</v>
      </c>
      <c r="M15" s="18" t="s">
        <v>13</v>
      </c>
      <c r="N15" s="16" t="str">
        <f t="shared" si="0"/>
        <v/>
      </c>
    </row>
    <row r="16" spans="2:14" ht="16.5" customHeight="1">
      <c r="B16" s="15">
        <v>7</v>
      </c>
      <c r="C16" s="22" t="s">
        <v>1089</v>
      </c>
      <c r="D16" s="10" t="s">
        <v>1090</v>
      </c>
      <c r="E16" s="12" t="s">
        <v>31</v>
      </c>
      <c r="F16" s="20" t="s">
        <v>40</v>
      </c>
      <c r="G16" s="20" t="s">
        <v>397</v>
      </c>
      <c r="H16" s="20">
        <v>4</v>
      </c>
      <c r="I16" s="20" t="s">
        <v>1080</v>
      </c>
      <c r="J16" s="18" t="s">
        <v>13</v>
      </c>
      <c r="K16" s="18" t="s">
        <v>13</v>
      </c>
      <c r="L16" s="18" t="s">
        <v>13</v>
      </c>
      <c r="M16" s="18" t="s">
        <v>13</v>
      </c>
      <c r="N16" s="16" t="str">
        <f t="shared" si="0"/>
        <v/>
      </c>
    </row>
    <row r="17" spans="2:14" ht="16.5" customHeight="1">
      <c r="B17" s="15">
        <v>8</v>
      </c>
      <c r="C17" s="22" t="s">
        <v>1091</v>
      </c>
      <c r="D17" s="10" t="s">
        <v>1092</v>
      </c>
      <c r="E17" s="12" t="s">
        <v>31</v>
      </c>
      <c r="F17" s="20" t="s">
        <v>396</v>
      </c>
      <c r="G17" s="20" t="s">
        <v>397</v>
      </c>
      <c r="H17" s="20">
        <v>4</v>
      </c>
      <c r="I17" s="20" t="s">
        <v>1080</v>
      </c>
      <c r="J17" s="18" t="s">
        <v>13</v>
      </c>
      <c r="K17" s="18" t="s">
        <v>13</v>
      </c>
      <c r="L17" s="18" t="s">
        <v>13</v>
      </c>
      <c r="M17" s="18" t="s">
        <v>13</v>
      </c>
      <c r="N17" s="16" t="str">
        <f t="shared" si="0"/>
        <v/>
      </c>
    </row>
    <row r="18" spans="2:14" ht="16.5" customHeight="1">
      <c r="B18" s="15">
        <v>9</v>
      </c>
      <c r="C18" s="22" t="s">
        <v>1093</v>
      </c>
      <c r="D18" s="10" t="s">
        <v>200</v>
      </c>
      <c r="E18" s="12" t="s">
        <v>178</v>
      </c>
      <c r="F18" s="20" t="s">
        <v>30</v>
      </c>
      <c r="G18" s="20" t="s">
        <v>397</v>
      </c>
      <c r="H18" s="20">
        <v>4</v>
      </c>
      <c r="I18" s="20" t="s">
        <v>1080</v>
      </c>
      <c r="J18" s="18" t="s">
        <v>13</v>
      </c>
      <c r="K18" s="18" t="s">
        <v>13</v>
      </c>
      <c r="L18" s="18" t="s">
        <v>13</v>
      </c>
      <c r="M18" s="18" t="s">
        <v>13</v>
      </c>
      <c r="N18" s="16" t="str">
        <f t="shared" si="0"/>
        <v/>
      </c>
    </row>
    <row r="19" spans="2:14" ht="16.5" customHeight="1">
      <c r="B19" s="15">
        <v>10</v>
      </c>
      <c r="C19" s="22" t="s">
        <v>1094</v>
      </c>
      <c r="D19" s="10" t="s">
        <v>1095</v>
      </c>
      <c r="E19" s="12" t="s">
        <v>178</v>
      </c>
      <c r="F19" s="20" t="s">
        <v>410</v>
      </c>
      <c r="G19" s="20" t="s">
        <v>397</v>
      </c>
      <c r="H19" s="20">
        <v>4</v>
      </c>
      <c r="I19" s="20" t="s">
        <v>1080</v>
      </c>
      <c r="J19" s="18" t="s">
        <v>13</v>
      </c>
      <c r="K19" s="18" t="s">
        <v>13</v>
      </c>
      <c r="L19" s="18" t="s">
        <v>13</v>
      </c>
      <c r="M19" s="18" t="s">
        <v>13</v>
      </c>
      <c r="N19" s="16" t="str">
        <f t="shared" si="0"/>
        <v/>
      </c>
    </row>
    <row r="20" spans="2:14" ht="16.5" customHeight="1">
      <c r="B20" s="15">
        <v>11</v>
      </c>
      <c r="C20" s="22" t="s">
        <v>1096</v>
      </c>
      <c r="D20" s="10" t="s">
        <v>131</v>
      </c>
      <c r="E20" s="12" t="s">
        <v>132</v>
      </c>
      <c r="F20" s="20" t="s">
        <v>82</v>
      </c>
      <c r="G20" s="20" t="s">
        <v>397</v>
      </c>
      <c r="H20" s="20">
        <v>4</v>
      </c>
      <c r="I20" s="20" t="s">
        <v>1080</v>
      </c>
      <c r="J20" s="18" t="s">
        <v>13</v>
      </c>
      <c r="K20" s="18" t="s">
        <v>13</v>
      </c>
      <c r="L20" s="18" t="s">
        <v>13</v>
      </c>
      <c r="M20" s="18" t="s">
        <v>13</v>
      </c>
      <c r="N20" s="16" t="str">
        <f t="shared" si="0"/>
        <v/>
      </c>
    </row>
    <row r="21" spans="2:14" ht="16.5" customHeight="1">
      <c r="B21" s="15">
        <v>12</v>
      </c>
      <c r="C21" s="22" t="s">
        <v>1097</v>
      </c>
      <c r="D21" s="10" t="s">
        <v>119</v>
      </c>
      <c r="E21" s="12" t="s">
        <v>418</v>
      </c>
      <c r="F21" s="20" t="s">
        <v>43</v>
      </c>
      <c r="G21" s="20" t="s">
        <v>397</v>
      </c>
      <c r="H21" s="20">
        <v>4</v>
      </c>
      <c r="I21" s="20" t="s">
        <v>1080</v>
      </c>
      <c r="J21" s="18" t="s">
        <v>13</v>
      </c>
      <c r="K21" s="18" t="s">
        <v>13</v>
      </c>
      <c r="L21" s="18" t="s">
        <v>13</v>
      </c>
      <c r="M21" s="18" t="s">
        <v>13</v>
      </c>
      <c r="N21" s="16" t="str">
        <f t="shared" si="0"/>
        <v/>
      </c>
    </row>
    <row r="22" spans="2:14" ht="16.5" customHeight="1">
      <c r="B22" s="15">
        <v>13</v>
      </c>
      <c r="C22" s="22" t="s">
        <v>1098</v>
      </c>
      <c r="D22" s="10" t="s">
        <v>184</v>
      </c>
      <c r="E22" s="12" t="s">
        <v>1099</v>
      </c>
      <c r="F22" s="20" t="s">
        <v>410</v>
      </c>
      <c r="G22" s="20" t="s">
        <v>397</v>
      </c>
      <c r="H22" s="20">
        <v>4</v>
      </c>
      <c r="I22" s="20" t="s">
        <v>1080</v>
      </c>
      <c r="J22" s="18" t="s">
        <v>13</v>
      </c>
      <c r="K22" s="18" t="s">
        <v>13</v>
      </c>
      <c r="L22" s="18" t="s">
        <v>13</v>
      </c>
      <c r="M22" s="18" t="s">
        <v>13</v>
      </c>
      <c r="N22" s="16" t="str">
        <f t="shared" si="0"/>
        <v/>
      </c>
    </row>
    <row r="23" spans="2:14" ht="16.5" customHeight="1">
      <c r="B23" s="15">
        <v>14</v>
      </c>
      <c r="C23" s="22" t="s">
        <v>1100</v>
      </c>
      <c r="D23" s="10" t="s">
        <v>211</v>
      </c>
      <c r="E23" s="12" t="s">
        <v>426</v>
      </c>
      <c r="F23" s="20" t="s">
        <v>412</v>
      </c>
      <c r="G23" s="20" t="s">
        <v>397</v>
      </c>
      <c r="H23" s="20">
        <v>4</v>
      </c>
      <c r="I23" s="20" t="s">
        <v>1080</v>
      </c>
      <c r="J23" s="18" t="s">
        <v>13</v>
      </c>
      <c r="K23" s="18" t="s">
        <v>13</v>
      </c>
      <c r="L23" s="18" t="s">
        <v>13</v>
      </c>
      <c r="M23" s="18" t="s">
        <v>13</v>
      </c>
      <c r="N23" s="16" t="str">
        <f t="shared" si="0"/>
        <v/>
      </c>
    </row>
    <row r="24" spans="2:14" ht="16.5" customHeight="1">
      <c r="B24" s="15">
        <v>15</v>
      </c>
      <c r="C24" s="22" t="s">
        <v>1101</v>
      </c>
      <c r="D24" s="10" t="s">
        <v>516</v>
      </c>
      <c r="E24" s="12" t="s">
        <v>180</v>
      </c>
      <c r="F24" s="20" t="s">
        <v>30</v>
      </c>
      <c r="G24" s="20" t="s">
        <v>397</v>
      </c>
      <c r="H24" s="20">
        <v>4</v>
      </c>
      <c r="I24" s="20" t="s">
        <v>1080</v>
      </c>
      <c r="J24" s="18" t="s">
        <v>13</v>
      </c>
      <c r="K24" s="18" t="s">
        <v>13</v>
      </c>
      <c r="L24" s="18" t="s">
        <v>13</v>
      </c>
      <c r="M24" s="18" t="s">
        <v>13</v>
      </c>
      <c r="N24" s="16" t="str">
        <f t="shared" si="0"/>
        <v/>
      </c>
    </row>
    <row r="25" spans="2:14" ht="16.5" customHeight="1">
      <c r="B25" s="15">
        <v>16</v>
      </c>
      <c r="C25" s="22" t="s">
        <v>1102</v>
      </c>
      <c r="D25" s="10" t="s">
        <v>1103</v>
      </c>
      <c r="E25" s="12" t="s">
        <v>1104</v>
      </c>
      <c r="F25" s="20" t="s">
        <v>410</v>
      </c>
      <c r="G25" s="20" t="s">
        <v>397</v>
      </c>
      <c r="H25" s="20">
        <v>4</v>
      </c>
      <c r="I25" s="20" t="s">
        <v>1080</v>
      </c>
      <c r="J25" s="18" t="s">
        <v>13</v>
      </c>
      <c r="K25" s="18" t="s">
        <v>13</v>
      </c>
      <c r="L25" s="18" t="s">
        <v>13</v>
      </c>
      <c r="M25" s="18" t="s">
        <v>13</v>
      </c>
      <c r="N25" s="16" t="str">
        <f t="shared" si="0"/>
        <v/>
      </c>
    </row>
    <row r="26" spans="2:14" ht="16.5" customHeight="1">
      <c r="B26" s="15">
        <v>17</v>
      </c>
      <c r="C26" s="22" t="s">
        <v>1105</v>
      </c>
      <c r="D26" s="10" t="s">
        <v>827</v>
      </c>
      <c r="E26" s="12" t="s">
        <v>36</v>
      </c>
      <c r="F26" s="20" t="s">
        <v>456</v>
      </c>
      <c r="G26" s="20" t="s">
        <v>397</v>
      </c>
      <c r="H26" s="20">
        <v>4</v>
      </c>
      <c r="I26" s="20" t="s">
        <v>1080</v>
      </c>
      <c r="J26" s="18" t="s">
        <v>13</v>
      </c>
      <c r="K26" s="18" t="s">
        <v>13</v>
      </c>
      <c r="L26" s="18" t="s">
        <v>13</v>
      </c>
      <c r="M26" s="18" t="s">
        <v>13</v>
      </c>
      <c r="N26" s="16" t="str">
        <f t="shared" si="0"/>
        <v/>
      </c>
    </row>
    <row r="27" spans="2:14" ht="16.5" customHeight="1">
      <c r="B27" s="15">
        <v>18</v>
      </c>
      <c r="C27" s="22" t="s">
        <v>1106</v>
      </c>
      <c r="D27" s="10" t="s">
        <v>182</v>
      </c>
      <c r="E27" s="12" t="s">
        <v>135</v>
      </c>
      <c r="F27" s="20" t="s">
        <v>38</v>
      </c>
      <c r="G27" s="20" t="s">
        <v>397</v>
      </c>
      <c r="H27" s="20">
        <v>4</v>
      </c>
      <c r="I27" s="20" t="s">
        <v>1080</v>
      </c>
      <c r="J27" s="18" t="s">
        <v>13</v>
      </c>
      <c r="K27" s="18" t="s">
        <v>13</v>
      </c>
      <c r="L27" s="18" t="s">
        <v>13</v>
      </c>
      <c r="M27" s="18" t="s">
        <v>13</v>
      </c>
      <c r="N27" s="16" t="str">
        <f t="shared" si="0"/>
        <v/>
      </c>
    </row>
    <row r="28" spans="2:14" ht="16.5" customHeight="1">
      <c r="B28" s="15">
        <v>19</v>
      </c>
      <c r="C28" s="22" t="s">
        <v>1107</v>
      </c>
      <c r="D28" s="10" t="s">
        <v>1108</v>
      </c>
      <c r="E28" s="12" t="s">
        <v>136</v>
      </c>
      <c r="F28" s="20" t="s">
        <v>414</v>
      </c>
      <c r="G28" s="20" t="s">
        <v>397</v>
      </c>
      <c r="H28" s="20">
        <v>4</v>
      </c>
      <c r="I28" s="20" t="s">
        <v>1080</v>
      </c>
      <c r="J28" s="18" t="s">
        <v>13</v>
      </c>
      <c r="K28" s="18" t="s">
        <v>13</v>
      </c>
      <c r="L28" s="18" t="s">
        <v>13</v>
      </c>
      <c r="M28" s="18" t="s">
        <v>13</v>
      </c>
      <c r="N28" s="16" t="str">
        <f t="shared" si="0"/>
        <v/>
      </c>
    </row>
    <row r="29" spans="2:14" ht="16.5" customHeight="1">
      <c r="B29" s="15">
        <v>20</v>
      </c>
      <c r="C29" s="22" t="s">
        <v>1109</v>
      </c>
      <c r="D29" s="10" t="s">
        <v>210</v>
      </c>
      <c r="E29" s="12" t="s">
        <v>1110</v>
      </c>
      <c r="F29" s="20" t="s">
        <v>38</v>
      </c>
      <c r="G29" s="20" t="s">
        <v>397</v>
      </c>
      <c r="H29" s="20">
        <v>4</v>
      </c>
      <c r="I29" s="20" t="s">
        <v>1080</v>
      </c>
      <c r="J29" s="18" t="s">
        <v>13</v>
      </c>
      <c r="K29" s="18" t="s">
        <v>13</v>
      </c>
      <c r="L29" s="18" t="s">
        <v>13</v>
      </c>
      <c r="M29" s="18" t="s">
        <v>13</v>
      </c>
      <c r="N29" s="16" t="str">
        <f t="shared" si="0"/>
        <v/>
      </c>
    </row>
    <row r="30" spans="2:14" ht="16.5" customHeight="1">
      <c r="B30" s="15">
        <v>21</v>
      </c>
      <c r="C30" s="22" t="s">
        <v>1111</v>
      </c>
      <c r="D30" s="10" t="s">
        <v>1112</v>
      </c>
      <c r="E30" s="12" t="s">
        <v>39</v>
      </c>
      <c r="F30" s="20" t="s">
        <v>40</v>
      </c>
      <c r="G30" s="20" t="s">
        <v>397</v>
      </c>
      <c r="H30" s="20">
        <v>4</v>
      </c>
      <c r="I30" s="20" t="s">
        <v>1080</v>
      </c>
      <c r="J30" s="18" t="s">
        <v>13</v>
      </c>
      <c r="K30" s="18" t="s">
        <v>13</v>
      </c>
      <c r="L30" s="18" t="s">
        <v>13</v>
      </c>
      <c r="M30" s="18" t="s">
        <v>13</v>
      </c>
      <c r="N30" s="16" t="str">
        <f t="shared" si="0"/>
        <v/>
      </c>
    </row>
    <row r="31" spans="2:14" ht="16.5" customHeight="1">
      <c r="B31" s="15">
        <v>22</v>
      </c>
      <c r="C31" s="22" t="s">
        <v>1113</v>
      </c>
      <c r="D31" s="10" t="s">
        <v>428</v>
      </c>
      <c r="E31" s="12" t="s">
        <v>378</v>
      </c>
      <c r="F31" s="20" t="s">
        <v>621</v>
      </c>
      <c r="G31" s="20" t="s">
        <v>397</v>
      </c>
      <c r="H31" s="20">
        <v>4</v>
      </c>
      <c r="I31" s="20" t="s">
        <v>1080</v>
      </c>
      <c r="J31" s="18" t="s">
        <v>13</v>
      </c>
      <c r="K31" s="18" t="s">
        <v>13</v>
      </c>
      <c r="L31" s="18" t="s">
        <v>13</v>
      </c>
      <c r="M31" s="18" t="s">
        <v>13</v>
      </c>
      <c r="N31" s="16" t="str">
        <f t="shared" si="0"/>
        <v/>
      </c>
    </row>
    <row r="32" spans="2:14" ht="16.5" customHeight="1">
      <c r="B32" s="15">
        <v>23</v>
      </c>
      <c r="C32" s="22" t="s">
        <v>1114</v>
      </c>
      <c r="D32" s="10" t="s">
        <v>157</v>
      </c>
      <c r="E32" s="12" t="s">
        <v>378</v>
      </c>
      <c r="F32" s="20" t="s">
        <v>1115</v>
      </c>
      <c r="G32" s="20" t="s">
        <v>397</v>
      </c>
      <c r="H32" s="20">
        <v>4</v>
      </c>
      <c r="I32" s="20" t="s">
        <v>1080</v>
      </c>
      <c r="J32" s="18" t="s">
        <v>13</v>
      </c>
      <c r="K32" s="18" t="s">
        <v>13</v>
      </c>
      <c r="L32" s="18" t="s">
        <v>13</v>
      </c>
      <c r="M32" s="18" t="s">
        <v>13</v>
      </c>
      <c r="N32" s="16" t="str">
        <f t="shared" si="0"/>
        <v/>
      </c>
    </row>
    <row r="33" spans="2:14" ht="16.5" customHeight="1">
      <c r="B33" s="15">
        <v>24</v>
      </c>
      <c r="C33" s="22" t="s">
        <v>1116</v>
      </c>
      <c r="D33" s="10" t="s">
        <v>1117</v>
      </c>
      <c r="E33" s="12" t="s">
        <v>44</v>
      </c>
      <c r="F33" s="20" t="s">
        <v>432</v>
      </c>
      <c r="G33" s="20" t="s">
        <v>397</v>
      </c>
      <c r="H33" s="20">
        <v>4</v>
      </c>
      <c r="I33" s="20" t="s">
        <v>1080</v>
      </c>
      <c r="J33" s="18" t="s">
        <v>13</v>
      </c>
      <c r="K33" s="18" t="s">
        <v>13</v>
      </c>
      <c r="L33" s="18" t="s">
        <v>13</v>
      </c>
      <c r="M33" s="18" t="s">
        <v>13</v>
      </c>
      <c r="N33" s="16" t="str">
        <f t="shared" si="0"/>
        <v/>
      </c>
    </row>
    <row r="34" spans="2:14" ht="16.5" customHeight="1">
      <c r="B34" s="15">
        <v>25</v>
      </c>
      <c r="C34" s="22" t="s">
        <v>1118</v>
      </c>
      <c r="D34" s="10" t="s">
        <v>199</v>
      </c>
      <c r="E34" s="12" t="s">
        <v>44</v>
      </c>
      <c r="F34" s="20" t="s">
        <v>396</v>
      </c>
      <c r="G34" s="20" t="s">
        <v>397</v>
      </c>
      <c r="H34" s="20">
        <v>4</v>
      </c>
      <c r="I34" s="20" t="s">
        <v>1080</v>
      </c>
      <c r="J34" s="18" t="s">
        <v>13</v>
      </c>
      <c r="K34" s="18" t="s">
        <v>13</v>
      </c>
      <c r="L34" s="18" t="s">
        <v>13</v>
      </c>
      <c r="M34" s="18" t="s">
        <v>13</v>
      </c>
      <c r="N34" s="16" t="str">
        <f t="shared" si="0"/>
        <v/>
      </c>
    </row>
    <row r="35" spans="2:14" ht="16.5" customHeight="1">
      <c r="B35" s="15">
        <v>26</v>
      </c>
      <c r="C35" s="22" t="s">
        <v>1119</v>
      </c>
      <c r="D35" s="10" t="s">
        <v>234</v>
      </c>
      <c r="E35" s="12" t="s">
        <v>44</v>
      </c>
      <c r="F35" s="20" t="s">
        <v>38</v>
      </c>
      <c r="G35" s="20" t="s">
        <v>397</v>
      </c>
      <c r="H35" s="20">
        <v>4</v>
      </c>
      <c r="I35" s="20" t="s">
        <v>1080</v>
      </c>
      <c r="J35" s="18" t="s">
        <v>13</v>
      </c>
      <c r="K35" s="18" t="s">
        <v>13</v>
      </c>
      <c r="L35" s="18" t="s">
        <v>13</v>
      </c>
      <c r="M35" s="18" t="s">
        <v>13</v>
      </c>
      <c r="N35" s="16" t="str">
        <f t="shared" si="0"/>
        <v/>
      </c>
    </row>
    <row r="36" spans="2:14" ht="16.5" customHeight="1">
      <c r="B36" s="15">
        <v>27</v>
      </c>
      <c r="C36" s="22" t="s">
        <v>1120</v>
      </c>
      <c r="D36" s="10" t="s">
        <v>146</v>
      </c>
      <c r="E36" s="12" t="s">
        <v>44</v>
      </c>
      <c r="F36" s="20" t="s">
        <v>585</v>
      </c>
      <c r="G36" s="20" t="s">
        <v>397</v>
      </c>
      <c r="H36" s="20">
        <v>4</v>
      </c>
      <c r="I36" s="20" t="s">
        <v>1080</v>
      </c>
      <c r="J36" s="18" t="s">
        <v>13</v>
      </c>
      <c r="K36" s="18" t="s">
        <v>13</v>
      </c>
      <c r="L36" s="18" t="s">
        <v>13</v>
      </c>
      <c r="M36" s="18" t="s">
        <v>13</v>
      </c>
      <c r="N36" s="16" t="str">
        <f t="shared" si="0"/>
        <v/>
      </c>
    </row>
    <row r="37" spans="2:14" ht="16.5" customHeight="1">
      <c r="B37" s="15">
        <v>28</v>
      </c>
      <c r="C37" s="22" t="s">
        <v>1121</v>
      </c>
      <c r="D37" s="10" t="s">
        <v>1122</v>
      </c>
      <c r="E37" s="12" t="s">
        <v>212</v>
      </c>
      <c r="F37" s="20" t="s">
        <v>396</v>
      </c>
      <c r="G37" s="20" t="s">
        <v>397</v>
      </c>
      <c r="H37" s="20">
        <v>4</v>
      </c>
      <c r="I37" s="20" t="s">
        <v>1080</v>
      </c>
      <c r="J37" s="18" t="s">
        <v>13</v>
      </c>
      <c r="K37" s="18" t="s">
        <v>13</v>
      </c>
      <c r="L37" s="18" t="s">
        <v>13</v>
      </c>
      <c r="M37" s="18" t="s">
        <v>13</v>
      </c>
      <c r="N37" s="16" t="str">
        <f t="shared" si="0"/>
        <v/>
      </c>
    </row>
    <row r="38" spans="2:14" ht="16.5" customHeight="1">
      <c r="B38" s="15">
        <v>29</v>
      </c>
      <c r="C38" s="22" t="s">
        <v>1123</v>
      </c>
      <c r="D38" s="10" t="s">
        <v>896</v>
      </c>
      <c r="E38" s="12" t="s">
        <v>1124</v>
      </c>
      <c r="F38" s="20" t="s">
        <v>420</v>
      </c>
      <c r="G38" s="20" t="s">
        <v>397</v>
      </c>
      <c r="H38" s="20">
        <v>4</v>
      </c>
      <c r="I38" s="20" t="s">
        <v>1080</v>
      </c>
      <c r="J38" s="18" t="s">
        <v>13</v>
      </c>
      <c r="K38" s="18" t="s">
        <v>13</v>
      </c>
      <c r="L38" s="18" t="s">
        <v>13</v>
      </c>
      <c r="M38" s="18" t="s">
        <v>13</v>
      </c>
      <c r="N38" s="16" t="str">
        <f t="shared" si="0"/>
        <v/>
      </c>
    </row>
    <row r="39" spans="2:14" ht="16.5" customHeight="1">
      <c r="B39" s="15">
        <v>30</v>
      </c>
      <c r="C39" s="21" t="s">
        <v>1125</v>
      </c>
      <c r="D39" s="9" t="s">
        <v>187</v>
      </c>
      <c r="E39" s="11" t="s">
        <v>188</v>
      </c>
      <c r="F39" s="19" t="s">
        <v>38</v>
      </c>
      <c r="G39" s="19" t="s">
        <v>397</v>
      </c>
      <c r="H39" s="19">
        <v>4</v>
      </c>
      <c r="I39" s="19" t="s">
        <v>1080</v>
      </c>
      <c r="J39" s="17" t="s">
        <v>13</v>
      </c>
      <c r="K39" s="17" t="s">
        <v>13</v>
      </c>
      <c r="L39" s="17" t="s">
        <v>13</v>
      </c>
      <c r="M39" s="17" t="s">
        <v>13</v>
      </c>
      <c r="N39" s="14" t="str">
        <f>+IF(OR($J39=0,$K39=0,$L39=0,$M39=0),"Không đủ ĐKDT","")</f>
        <v/>
      </c>
    </row>
    <row r="40" spans="2:14" ht="16.5" customHeight="1">
      <c r="B40" s="15">
        <v>31</v>
      </c>
      <c r="C40" s="22" t="s">
        <v>1126</v>
      </c>
      <c r="D40" s="10" t="s">
        <v>1127</v>
      </c>
      <c r="E40" s="12" t="s">
        <v>46</v>
      </c>
      <c r="F40" s="20" t="s">
        <v>410</v>
      </c>
      <c r="G40" s="20" t="s">
        <v>397</v>
      </c>
      <c r="H40" s="20">
        <v>4</v>
      </c>
      <c r="I40" s="20" t="s">
        <v>1080</v>
      </c>
      <c r="J40" s="18" t="s">
        <v>13</v>
      </c>
      <c r="K40" s="18" t="s">
        <v>13</v>
      </c>
      <c r="L40" s="18" t="s">
        <v>13</v>
      </c>
      <c r="M40" s="18" t="s">
        <v>13</v>
      </c>
      <c r="N40" s="16" t="str">
        <f>+IF(OR($J40=0,$K40=0,$L40=0,$M40=0),"Không đủ ĐKDT","")</f>
        <v/>
      </c>
    </row>
    <row r="41" spans="2:14" ht="16.5" customHeight="1">
      <c r="B41" s="15">
        <v>32</v>
      </c>
      <c r="C41" s="22" t="s">
        <v>1128</v>
      </c>
      <c r="D41" s="10" t="s">
        <v>70</v>
      </c>
      <c r="E41" s="12" t="s">
        <v>268</v>
      </c>
      <c r="F41" s="20" t="s">
        <v>414</v>
      </c>
      <c r="G41" s="20" t="s">
        <v>397</v>
      </c>
      <c r="H41" s="20">
        <v>4</v>
      </c>
      <c r="I41" s="20" t="s">
        <v>1080</v>
      </c>
      <c r="J41" s="18" t="s">
        <v>13</v>
      </c>
      <c r="K41" s="18" t="s">
        <v>13</v>
      </c>
      <c r="L41" s="18" t="s">
        <v>13</v>
      </c>
      <c r="M41" s="18" t="s">
        <v>13</v>
      </c>
      <c r="N41" s="16" t="str">
        <f t="shared" ref="N41:N67" si="1">+IF(OR($J41=0,$K41=0,$L41=0,$M41=0),"Không đủ ĐKDT","")</f>
        <v/>
      </c>
    </row>
    <row r="42" spans="2:14" ht="16.5" customHeight="1">
      <c r="B42" s="15">
        <v>33</v>
      </c>
      <c r="C42" s="22" t="s">
        <v>1129</v>
      </c>
      <c r="D42" s="10" t="s">
        <v>1130</v>
      </c>
      <c r="E42" s="12" t="s">
        <v>250</v>
      </c>
      <c r="F42" s="20" t="s">
        <v>38</v>
      </c>
      <c r="G42" s="20" t="s">
        <v>397</v>
      </c>
      <c r="H42" s="20">
        <v>4</v>
      </c>
      <c r="I42" s="20" t="s">
        <v>1080</v>
      </c>
      <c r="J42" s="18" t="s">
        <v>13</v>
      </c>
      <c r="K42" s="18" t="s">
        <v>13</v>
      </c>
      <c r="L42" s="18" t="s">
        <v>13</v>
      </c>
      <c r="M42" s="18" t="s">
        <v>13</v>
      </c>
      <c r="N42" s="16" t="str">
        <f t="shared" si="1"/>
        <v/>
      </c>
    </row>
    <row r="43" spans="2:14" ht="16.5" customHeight="1">
      <c r="B43" s="15">
        <v>34</v>
      </c>
      <c r="C43" s="22" t="s">
        <v>1131</v>
      </c>
      <c r="D43" s="10" t="s">
        <v>1132</v>
      </c>
      <c r="E43" s="12" t="s">
        <v>48</v>
      </c>
      <c r="F43" s="20" t="s">
        <v>420</v>
      </c>
      <c r="G43" s="20" t="s">
        <v>397</v>
      </c>
      <c r="H43" s="20">
        <v>4</v>
      </c>
      <c r="I43" s="20" t="s">
        <v>1080</v>
      </c>
      <c r="J43" s="18" t="s">
        <v>13</v>
      </c>
      <c r="K43" s="18" t="s">
        <v>13</v>
      </c>
      <c r="L43" s="18" t="s">
        <v>13</v>
      </c>
      <c r="M43" s="18" t="s">
        <v>13</v>
      </c>
      <c r="N43" s="16" t="str">
        <f t="shared" si="1"/>
        <v/>
      </c>
    </row>
    <row r="44" spans="2:14" ht="16.5" customHeight="1">
      <c r="B44" s="15">
        <v>35</v>
      </c>
      <c r="C44" s="22" t="s">
        <v>1133</v>
      </c>
      <c r="D44" s="10" t="s">
        <v>1134</v>
      </c>
      <c r="E44" s="12" t="s">
        <v>49</v>
      </c>
      <c r="F44" s="20" t="s">
        <v>468</v>
      </c>
      <c r="G44" s="20" t="s">
        <v>397</v>
      </c>
      <c r="H44" s="20">
        <v>4</v>
      </c>
      <c r="I44" s="20" t="s">
        <v>1080</v>
      </c>
      <c r="J44" s="18" t="s">
        <v>13</v>
      </c>
      <c r="K44" s="18" t="s">
        <v>13</v>
      </c>
      <c r="L44" s="18" t="s">
        <v>13</v>
      </c>
      <c r="M44" s="18" t="s">
        <v>13</v>
      </c>
      <c r="N44" s="16" t="str">
        <f t="shared" si="1"/>
        <v/>
      </c>
    </row>
    <row r="45" spans="2:14" ht="16.5" customHeight="1">
      <c r="B45" s="15">
        <v>36</v>
      </c>
      <c r="C45" s="22" t="s">
        <v>1135</v>
      </c>
      <c r="D45" s="10" t="s">
        <v>236</v>
      </c>
      <c r="E45" s="12" t="s">
        <v>49</v>
      </c>
      <c r="F45" s="20" t="s">
        <v>43</v>
      </c>
      <c r="G45" s="20" t="s">
        <v>397</v>
      </c>
      <c r="H45" s="20">
        <v>4</v>
      </c>
      <c r="I45" s="20" t="s">
        <v>1080</v>
      </c>
      <c r="J45" s="18" t="s">
        <v>13</v>
      </c>
      <c r="K45" s="18" t="s">
        <v>13</v>
      </c>
      <c r="L45" s="18" t="s">
        <v>13</v>
      </c>
      <c r="M45" s="18" t="s">
        <v>13</v>
      </c>
      <c r="N45" s="16" t="str">
        <f t="shared" si="1"/>
        <v/>
      </c>
    </row>
    <row r="46" spans="2:14" ht="16.5" customHeight="1">
      <c r="B46" s="15">
        <v>37</v>
      </c>
      <c r="C46" s="22" t="s">
        <v>1136</v>
      </c>
      <c r="D46" s="10" t="s">
        <v>252</v>
      </c>
      <c r="E46" s="12" t="s">
        <v>49</v>
      </c>
      <c r="F46" s="20" t="s">
        <v>38</v>
      </c>
      <c r="G46" s="20" t="s">
        <v>397</v>
      </c>
      <c r="H46" s="20">
        <v>4</v>
      </c>
      <c r="I46" s="20" t="s">
        <v>1080</v>
      </c>
      <c r="J46" s="18" t="s">
        <v>13</v>
      </c>
      <c r="K46" s="18" t="s">
        <v>13</v>
      </c>
      <c r="L46" s="18" t="s">
        <v>13</v>
      </c>
      <c r="M46" s="18" t="s">
        <v>13</v>
      </c>
      <c r="N46" s="16" t="str">
        <f t="shared" si="1"/>
        <v/>
      </c>
    </row>
    <row r="47" spans="2:14" ht="16.5" customHeight="1">
      <c r="B47" s="15">
        <v>38</v>
      </c>
      <c r="C47" s="22" t="s">
        <v>1137</v>
      </c>
      <c r="D47" s="10" t="s">
        <v>1138</v>
      </c>
      <c r="E47" s="12" t="s">
        <v>253</v>
      </c>
      <c r="F47" s="20" t="s">
        <v>412</v>
      </c>
      <c r="G47" s="20" t="s">
        <v>397</v>
      </c>
      <c r="H47" s="20">
        <v>4</v>
      </c>
      <c r="I47" s="20" t="s">
        <v>1080</v>
      </c>
      <c r="J47" s="18" t="s">
        <v>13</v>
      </c>
      <c r="K47" s="18" t="s">
        <v>13</v>
      </c>
      <c r="L47" s="18" t="s">
        <v>13</v>
      </c>
      <c r="M47" s="18" t="s">
        <v>13</v>
      </c>
      <c r="N47" s="16" t="str">
        <f t="shared" si="1"/>
        <v/>
      </c>
    </row>
    <row r="48" spans="2:14" ht="16.5" customHeight="1">
      <c r="B48" s="15">
        <v>39</v>
      </c>
      <c r="C48" s="22" t="s">
        <v>1139</v>
      </c>
      <c r="D48" s="10" t="s">
        <v>252</v>
      </c>
      <c r="E48" s="12" t="s">
        <v>253</v>
      </c>
      <c r="F48" s="20" t="s">
        <v>38</v>
      </c>
      <c r="G48" s="20" t="s">
        <v>397</v>
      </c>
      <c r="H48" s="20">
        <v>4</v>
      </c>
      <c r="I48" s="20" t="s">
        <v>1080</v>
      </c>
      <c r="J48" s="18" t="s">
        <v>13</v>
      </c>
      <c r="K48" s="18" t="s">
        <v>13</v>
      </c>
      <c r="L48" s="18" t="s">
        <v>13</v>
      </c>
      <c r="M48" s="18" t="s">
        <v>13</v>
      </c>
      <c r="N48" s="16" t="str">
        <f t="shared" si="1"/>
        <v/>
      </c>
    </row>
    <row r="49" spans="2:14" ht="16.5" customHeight="1">
      <c r="B49" s="15">
        <v>40</v>
      </c>
      <c r="C49" s="22" t="s">
        <v>1140</v>
      </c>
      <c r="D49" s="10" t="s">
        <v>1141</v>
      </c>
      <c r="E49" s="12" t="s">
        <v>58</v>
      </c>
      <c r="F49" s="20" t="s">
        <v>414</v>
      </c>
      <c r="G49" s="20" t="s">
        <v>397</v>
      </c>
      <c r="H49" s="20">
        <v>4</v>
      </c>
      <c r="I49" s="20" t="s">
        <v>1080</v>
      </c>
      <c r="J49" s="18" t="s">
        <v>13</v>
      </c>
      <c r="K49" s="18" t="s">
        <v>13</v>
      </c>
      <c r="L49" s="18" t="s">
        <v>13</v>
      </c>
      <c r="M49" s="18" t="s">
        <v>13</v>
      </c>
      <c r="N49" s="16" t="str">
        <f t="shared" si="1"/>
        <v/>
      </c>
    </row>
    <row r="50" spans="2:14" ht="16.5" customHeight="1">
      <c r="B50" s="15">
        <v>41</v>
      </c>
      <c r="C50" s="22" t="s">
        <v>1142</v>
      </c>
      <c r="D50" s="10" t="s">
        <v>1143</v>
      </c>
      <c r="E50" s="12" t="s">
        <v>58</v>
      </c>
      <c r="F50" s="20" t="s">
        <v>1144</v>
      </c>
      <c r="G50" s="20" t="s">
        <v>397</v>
      </c>
      <c r="H50" s="20">
        <v>4</v>
      </c>
      <c r="I50" s="20" t="s">
        <v>1080</v>
      </c>
      <c r="J50" s="18" t="s">
        <v>13</v>
      </c>
      <c r="K50" s="18" t="s">
        <v>13</v>
      </c>
      <c r="L50" s="18" t="s">
        <v>13</v>
      </c>
      <c r="M50" s="18" t="s">
        <v>13</v>
      </c>
      <c r="N50" s="16" t="str">
        <f t="shared" si="1"/>
        <v/>
      </c>
    </row>
    <row r="51" spans="2:14" ht="16.5" customHeight="1">
      <c r="B51" s="15">
        <v>42</v>
      </c>
      <c r="C51" s="22" t="s">
        <v>1145</v>
      </c>
      <c r="D51" s="10" t="s">
        <v>1146</v>
      </c>
      <c r="E51" s="12" t="s">
        <v>58</v>
      </c>
      <c r="F51" s="20" t="s">
        <v>38</v>
      </c>
      <c r="G51" s="20" t="s">
        <v>397</v>
      </c>
      <c r="H51" s="20">
        <v>4</v>
      </c>
      <c r="I51" s="20" t="s">
        <v>1080</v>
      </c>
      <c r="J51" s="18" t="s">
        <v>13</v>
      </c>
      <c r="K51" s="18" t="s">
        <v>13</v>
      </c>
      <c r="L51" s="18" t="s">
        <v>13</v>
      </c>
      <c r="M51" s="18" t="s">
        <v>13</v>
      </c>
      <c r="N51" s="16" t="str">
        <f t="shared" si="1"/>
        <v/>
      </c>
    </row>
    <row r="52" spans="2:14" ht="16.5" customHeight="1">
      <c r="B52" s="15">
        <v>43</v>
      </c>
      <c r="C52" s="22" t="s">
        <v>1147</v>
      </c>
      <c r="D52" s="10" t="s">
        <v>255</v>
      </c>
      <c r="E52" s="12" t="s">
        <v>62</v>
      </c>
      <c r="F52" s="20" t="s">
        <v>38</v>
      </c>
      <c r="G52" s="20" t="s">
        <v>397</v>
      </c>
      <c r="H52" s="20">
        <v>4</v>
      </c>
      <c r="I52" s="20" t="s">
        <v>1080</v>
      </c>
      <c r="J52" s="18" t="s">
        <v>13</v>
      </c>
      <c r="K52" s="18" t="s">
        <v>13</v>
      </c>
      <c r="L52" s="18" t="s">
        <v>13</v>
      </c>
      <c r="M52" s="18" t="s">
        <v>13</v>
      </c>
      <c r="N52" s="16" t="str">
        <f t="shared" si="1"/>
        <v/>
      </c>
    </row>
    <row r="53" spans="2:14" ht="16.5" customHeight="1">
      <c r="B53" s="15">
        <v>44</v>
      </c>
      <c r="C53" s="22" t="s">
        <v>1148</v>
      </c>
      <c r="D53" s="10" t="s">
        <v>76</v>
      </c>
      <c r="E53" s="12" t="s">
        <v>342</v>
      </c>
      <c r="F53" s="20" t="s">
        <v>468</v>
      </c>
      <c r="G53" s="20" t="s">
        <v>397</v>
      </c>
      <c r="H53" s="20">
        <v>4</v>
      </c>
      <c r="I53" s="20" t="s">
        <v>1080</v>
      </c>
      <c r="J53" s="18" t="s">
        <v>13</v>
      </c>
      <c r="K53" s="18" t="s">
        <v>13</v>
      </c>
      <c r="L53" s="18" t="s">
        <v>13</v>
      </c>
      <c r="M53" s="18" t="s">
        <v>13</v>
      </c>
      <c r="N53" s="16" t="str">
        <f t="shared" si="1"/>
        <v/>
      </c>
    </row>
    <row r="54" spans="2:14" ht="16.5" customHeight="1">
      <c r="B54" s="15">
        <v>45</v>
      </c>
      <c r="C54" s="22" t="s">
        <v>1149</v>
      </c>
      <c r="D54" s="10" t="s">
        <v>177</v>
      </c>
      <c r="E54" s="12" t="s">
        <v>67</v>
      </c>
      <c r="F54" s="20" t="s">
        <v>468</v>
      </c>
      <c r="G54" s="20" t="s">
        <v>397</v>
      </c>
      <c r="H54" s="20">
        <v>4</v>
      </c>
      <c r="I54" s="20" t="s">
        <v>1080</v>
      </c>
      <c r="J54" s="18" t="s">
        <v>13</v>
      </c>
      <c r="K54" s="18" t="s">
        <v>13</v>
      </c>
      <c r="L54" s="18" t="s">
        <v>13</v>
      </c>
      <c r="M54" s="18" t="s">
        <v>13</v>
      </c>
      <c r="N54" s="16" t="str">
        <f t="shared" si="1"/>
        <v/>
      </c>
    </row>
    <row r="55" spans="2:14" ht="16.5" customHeight="1">
      <c r="B55" s="15">
        <v>46</v>
      </c>
      <c r="C55" s="22" t="s">
        <v>1150</v>
      </c>
      <c r="D55" s="10" t="s">
        <v>92</v>
      </c>
      <c r="E55" s="12" t="s">
        <v>69</v>
      </c>
      <c r="F55" s="20" t="s">
        <v>456</v>
      </c>
      <c r="G55" s="20" t="s">
        <v>397</v>
      </c>
      <c r="H55" s="20">
        <v>4</v>
      </c>
      <c r="I55" s="20" t="s">
        <v>1080</v>
      </c>
      <c r="J55" s="18" t="s">
        <v>13</v>
      </c>
      <c r="K55" s="18" t="s">
        <v>13</v>
      </c>
      <c r="L55" s="18" t="s">
        <v>13</v>
      </c>
      <c r="M55" s="18" t="s">
        <v>13</v>
      </c>
      <c r="N55" s="16" t="str">
        <f t="shared" si="1"/>
        <v/>
      </c>
    </row>
    <row r="56" spans="2:14" ht="16.5" customHeight="1">
      <c r="B56" s="15">
        <v>47</v>
      </c>
      <c r="C56" s="22" t="s">
        <v>1151</v>
      </c>
      <c r="D56" s="10" t="s">
        <v>863</v>
      </c>
      <c r="E56" s="12" t="s">
        <v>142</v>
      </c>
      <c r="F56" s="20" t="s">
        <v>432</v>
      </c>
      <c r="G56" s="20" t="s">
        <v>397</v>
      </c>
      <c r="H56" s="20">
        <v>4</v>
      </c>
      <c r="I56" s="20" t="s">
        <v>1080</v>
      </c>
      <c r="J56" s="18" t="s">
        <v>13</v>
      </c>
      <c r="K56" s="18" t="s">
        <v>13</v>
      </c>
      <c r="L56" s="18" t="s">
        <v>13</v>
      </c>
      <c r="M56" s="18" t="s">
        <v>13</v>
      </c>
      <c r="N56" s="16" t="str">
        <f t="shared" si="1"/>
        <v/>
      </c>
    </row>
    <row r="57" spans="2:14" ht="16.5" customHeight="1">
      <c r="B57" s="15">
        <v>48</v>
      </c>
      <c r="C57" s="22" t="s">
        <v>1152</v>
      </c>
      <c r="D57" s="10" t="s">
        <v>189</v>
      </c>
      <c r="E57" s="12" t="s">
        <v>142</v>
      </c>
      <c r="F57" s="20" t="s">
        <v>444</v>
      </c>
      <c r="G57" s="20" t="s">
        <v>397</v>
      </c>
      <c r="H57" s="20">
        <v>4</v>
      </c>
      <c r="I57" s="20" t="s">
        <v>1080</v>
      </c>
      <c r="J57" s="18" t="s">
        <v>13</v>
      </c>
      <c r="K57" s="18" t="s">
        <v>13</v>
      </c>
      <c r="L57" s="18" t="s">
        <v>13</v>
      </c>
      <c r="M57" s="18" t="s">
        <v>13</v>
      </c>
      <c r="N57" s="16" t="str">
        <f t="shared" si="1"/>
        <v/>
      </c>
    </row>
    <row r="58" spans="2:14" ht="16.5" customHeight="1">
      <c r="B58" s="15">
        <v>49</v>
      </c>
      <c r="C58" s="22" t="s">
        <v>1153</v>
      </c>
      <c r="D58" s="10" t="s">
        <v>995</v>
      </c>
      <c r="E58" s="12" t="s">
        <v>71</v>
      </c>
      <c r="F58" s="20" t="s">
        <v>456</v>
      </c>
      <c r="G58" s="20" t="s">
        <v>397</v>
      </c>
      <c r="H58" s="20">
        <v>4</v>
      </c>
      <c r="I58" s="20" t="s">
        <v>1080</v>
      </c>
      <c r="J58" s="18" t="s">
        <v>13</v>
      </c>
      <c r="K58" s="18" t="s">
        <v>13</v>
      </c>
      <c r="L58" s="18" t="s">
        <v>13</v>
      </c>
      <c r="M58" s="18" t="s">
        <v>13</v>
      </c>
      <c r="N58" s="16" t="str">
        <f t="shared" si="1"/>
        <v/>
      </c>
    </row>
    <row r="59" spans="2:14" ht="16.5" customHeight="1">
      <c r="B59" s="15">
        <v>50</v>
      </c>
      <c r="C59" s="22" t="s">
        <v>1154</v>
      </c>
      <c r="D59" s="10" t="s">
        <v>1155</v>
      </c>
      <c r="E59" s="12" t="s">
        <v>71</v>
      </c>
      <c r="F59" s="20" t="s">
        <v>43</v>
      </c>
      <c r="G59" s="20" t="s">
        <v>397</v>
      </c>
      <c r="H59" s="20">
        <v>4</v>
      </c>
      <c r="I59" s="20" t="s">
        <v>1080</v>
      </c>
      <c r="J59" s="18" t="s">
        <v>13</v>
      </c>
      <c r="K59" s="18" t="s">
        <v>13</v>
      </c>
      <c r="L59" s="18" t="s">
        <v>13</v>
      </c>
      <c r="M59" s="18" t="s">
        <v>13</v>
      </c>
      <c r="N59" s="16" t="str">
        <f t="shared" si="1"/>
        <v/>
      </c>
    </row>
    <row r="60" spans="2:14" ht="16.5" customHeight="1">
      <c r="B60" s="15">
        <v>51</v>
      </c>
      <c r="C60" s="22" t="s">
        <v>1156</v>
      </c>
      <c r="D60" s="10" t="s">
        <v>428</v>
      </c>
      <c r="E60" s="12" t="s">
        <v>72</v>
      </c>
      <c r="F60" s="20" t="s">
        <v>456</v>
      </c>
      <c r="G60" s="20" t="s">
        <v>397</v>
      </c>
      <c r="H60" s="20">
        <v>4</v>
      </c>
      <c r="I60" s="20" t="s">
        <v>1080</v>
      </c>
      <c r="J60" s="18" t="s">
        <v>13</v>
      </c>
      <c r="K60" s="18" t="s">
        <v>13</v>
      </c>
      <c r="L60" s="18" t="s">
        <v>13</v>
      </c>
      <c r="M60" s="18" t="s">
        <v>13</v>
      </c>
      <c r="N60" s="16" t="str">
        <f t="shared" si="1"/>
        <v/>
      </c>
    </row>
    <row r="61" spans="2:14" ht="16.5" customHeight="1">
      <c r="B61" s="15">
        <v>52</v>
      </c>
      <c r="C61" s="22" t="s">
        <v>1157</v>
      </c>
      <c r="D61" s="10" t="s">
        <v>169</v>
      </c>
      <c r="E61" s="12" t="s">
        <v>190</v>
      </c>
      <c r="F61" s="20" t="s">
        <v>38</v>
      </c>
      <c r="G61" s="20" t="s">
        <v>397</v>
      </c>
      <c r="H61" s="20">
        <v>4</v>
      </c>
      <c r="I61" s="20" t="s">
        <v>1080</v>
      </c>
      <c r="J61" s="18" t="s">
        <v>13</v>
      </c>
      <c r="K61" s="18" t="s">
        <v>13</v>
      </c>
      <c r="L61" s="18" t="s">
        <v>13</v>
      </c>
      <c r="M61" s="18" t="s">
        <v>13</v>
      </c>
      <c r="N61" s="16" t="str">
        <f t="shared" si="1"/>
        <v/>
      </c>
    </row>
    <row r="62" spans="2:14" ht="16.5" customHeight="1">
      <c r="B62" s="15">
        <v>53</v>
      </c>
      <c r="C62" s="22" t="s">
        <v>1158</v>
      </c>
      <c r="D62" s="10" t="s">
        <v>198</v>
      </c>
      <c r="E62" s="12" t="s">
        <v>73</v>
      </c>
      <c r="F62" s="20" t="s">
        <v>468</v>
      </c>
      <c r="G62" s="20" t="s">
        <v>397</v>
      </c>
      <c r="H62" s="20">
        <v>4</v>
      </c>
      <c r="I62" s="20" t="s">
        <v>1080</v>
      </c>
      <c r="J62" s="18" t="s">
        <v>13</v>
      </c>
      <c r="K62" s="18" t="s">
        <v>13</v>
      </c>
      <c r="L62" s="18" t="s">
        <v>13</v>
      </c>
      <c r="M62" s="18" t="s">
        <v>13</v>
      </c>
      <c r="N62" s="16" t="str">
        <f t="shared" si="1"/>
        <v/>
      </c>
    </row>
    <row r="63" spans="2:14" ht="16.5" customHeight="1">
      <c r="B63" s="15">
        <v>54</v>
      </c>
      <c r="C63" s="22" t="s">
        <v>1159</v>
      </c>
      <c r="D63" s="10" t="s">
        <v>211</v>
      </c>
      <c r="E63" s="12" t="s">
        <v>73</v>
      </c>
      <c r="F63" s="20" t="s">
        <v>456</v>
      </c>
      <c r="G63" s="20" t="s">
        <v>397</v>
      </c>
      <c r="H63" s="20">
        <v>4</v>
      </c>
      <c r="I63" s="20" t="s">
        <v>1080</v>
      </c>
      <c r="J63" s="18" t="s">
        <v>13</v>
      </c>
      <c r="K63" s="18" t="s">
        <v>13</v>
      </c>
      <c r="L63" s="18" t="s">
        <v>13</v>
      </c>
      <c r="M63" s="18" t="s">
        <v>13</v>
      </c>
      <c r="N63" s="16" t="str">
        <f t="shared" si="1"/>
        <v/>
      </c>
    </row>
    <row r="64" spans="2:14" ht="16.5" customHeight="1">
      <c r="B64" s="15">
        <v>55</v>
      </c>
      <c r="C64" s="22" t="s">
        <v>1160</v>
      </c>
      <c r="D64" s="10" t="s">
        <v>1161</v>
      </c>
      <c r="E64" s="12" t="s">
        <v>75</v>
      </c>
      <c r="F64" s="20" t="s">
        <v>38</v>
      </c>
      <c r="G64" s="20" t="s">
        <v>397</v>
      </c>
      <c r="H64" s="20">
        <v>4</v>
      </c>
      <c r="I64" s="20" t="s">
        <v>1080</v>
      </c>
      <c r="J64" s="18" t="s">
        <v>13</v>
      </c>
      <c r="K64" s="18" t="s">
        <v>13</v>
      </c>
      <c r="L64" s="18" t="s">
        <v>13</v>
      </c>
      <c r="M64" s="18" t="s">
        <v>13</v>
      </c>
      <c r="N64" s="16" t="str">
        <f t="shared" si="1"/>
        <v/>
      </c>
    </row>
    <row r="65" spans="2:14" ht="16.5" customHeight="1">
      <c r="B65" s="15">
        <v>56</v>
      </c>
      <c r="C65" s="22" t="s">
        <v>1162</v>
      </c>
      <c r="D65" s="10" t="s">
        <v>76</v>
      </c>
      <c r="E65" s="12" t="s">
        <v>75</v>
      </c>
      <c r="F65" s="20" t="s">
        <v>38</v>
      </c>
      <c r="G65" s="20" t="s">
        <v>397</v>
      </c>
      <c r="H65" s="20">
        <v>4</v>
      </c>
      <c r="I65" s="20" t="s">
        <v>1080</v>
      </c>
      <c r="J65" s="18" t="s">
        <v>13</v>
      </c>
      <c r="K65" s="18" t="s">
        <v>13</v>
      </c>
      <c r="L65" s="18" t="s">
        <v>13</v>
      </c>
      <c r="M65" s="18" t="s">
        <v>13</v>
      </c>
      <c r="N65" s="16" t="str">
        <f t="shared" si="1"/>
        <v/>
      </c>
    </row>
    <row r="66" spans="2:14" ht="16.5" customHeight="1">
      <c r="B66" s="15">
        <v>57</v>
      </c>
      <c r="C66" s="22" t="s">
        <v>1163</v>
      </c>
      <c r="D66" s="10" t="s">
        <v>29</v>
      </c>
      <c r="E66" s="12" t="s">
        <v>75</v>
      </c>
      <c r="F66" s="20" t="s">
        <v>468</v>
      </c>
      <c r="G66" s="20" t="s">
        <v>397</v>
      </c>
      <c r="H66" s="20">
        <v>4</v>
      </c>
      <c r="I66" s="20" t="s">
        <v>1080</v>
      </c>
      <c r="J66" s="18" t="s">
        <v>13</v>
      </c>
      <c r="K66" s="18" t="s">
        <v>13</v>
      </c>
      <c r="L66" s="18" t="s">
        <v>13</v>
      </c>
      <c r="M66" s="18" t="s">
        <v>13</v>
      </c>
      <c r="N66" s="16" t="str">
        <f t="shared" si="1"/>
        <v/>
      </c>
    </row>
    <row r="67" spans="2:14" ht="16.5" customHeight="1">
      <c r="B67" s="15">
        <v>58</v>
      </c>
      <c r="C67" s="22" t="s">
        <v>1164</v>
      </c>
      <c r="D67" s="10" t="s">
        <v>198</v>
      </c>
      <c r="E67" s="12" t="s">
        <v>77</v>
      </c>
      <c r="F67" s="20" t="s">
        <v>52</v>
      </c>
      <c r="G67" s="20" t="s">
        <v>397</v>
      </c>
      <c r="H67" s="20">
        <v>4</v>
      </c>
      <c r="I67" s="20" t="s">
        <v>1080</v>
      </c>
      <c r="J67" s="18" t="s">
        <v>13</v>
      </c>
      <c r="K67" s="18" t="s">
        <v>13</v>
      </c>
      <c r="L67" s="18" t="s">
        <v>13</v>
      </c>
      <c r="M67" s="18" t="s">
        <v>13</v>
      </c>
      <c r="N67" s="16" t="str">
        <f t="shared" si="1"/>
        <v/>
      </c>
    </row>
    <row r="68" spans="2:14" ht="16.5" customHeight="1">
      <c r="B68" s="15">
        <v>59</v>
      </c>
      <c r="C68" s="21" t="s">
        <v>1165</v>
      </c>
      <c r="D68" s="9" t="s">
        <v>146</v>
      </c>
      <c r="E68" s="11" t="s">
        <v>77</v>
      </c>
      <c r="F68" s="19" t="s">
        <v>40</v>
      </c>
      <c r="G68" s="19" t="s">
        <v>397</v>
      </c>
      <c r="H68" s="19">
        <v>4</v>
      </c>
      <c r="I68" s="19" t="s">
        <v>1080</v>
      </c>
      <c r="J68" s="17" t="s">
        <v>13</v>
      </c>
      <c r="K68" s="17" t="s">
        <v>13</v>
      </c>
      <c r="L68" s="17" t="s">
        <v>13</v>
      </c>
      <c r="M68" s="17" t="s">
        <v>13</v>
      </c>
      <c r="N68" s="14" t="str">
        <f>+IF(OR($J68=0,$K68=0,$L68=0,$M68=0),"Không đủ ĐKDT","")</f>
        <v/>
      </c>
    </row>
    <row r="69" spans="2:14" ht="16.5" customHeight="1">
      <c r="B69" s="15">
        <v>60</v>
      </c>
      <c r="C69" s="22" t="s">
        <v>1166</v>
      </c>
      <c r="D69" s="10" t="s">
        <v>308</v>
      </c>
      <c r="E69" s="12" t="s">
        <v>147</v>
      </c>
      <c r="F69" s="20" t="s">
        <v>420</v>
      </c>
      <c r="G69" s="20" t="s">
        <v>397</v>
      </c>
      <c r="H69" s="20">
        <v>4</v>
      </c>
      <c r="I69" s="20" t="s">
        <v>1080</v>
      </c>
      <c r="J69" s="18" t="s">
        <v>13</v>
      </c>
      <c r="K69" s="18" t="s">
        <v>13</v>
      </c>
      <c r="L69" s="18" t="s">
        <v>13</v>
      </c>
      <c r="M69" s="18" t="s">
        <v>13</v>
      </c>
      <c r="N69" s="16" t="str">
        <f>+IF(OR($J69=0,$K69=0,$L69=0,$M69=0),"Không đủ ĐKDT","")</f>
        <v/>
      </c>
    </row>
    <row r="70" spans="2:14" ht="16.5" customHeight="1">
      <c r="B70" s="15">
        <v>61</v>
      </c>
      <c r="C70" s="22" t="s">
        <v>1167</v>
      </c>
      <c r="D70" s="10" t="s">
        <v>157</v>
      </c>
      <c r="E70" s="12" t="s">
        <v>147</v>
      </c>
      <c r="F70" s="20" t="s">
        <v>410</v>
      </c>
      <c r="G70" s="20" t="s">
        <v>397</v>
      </c>
      <c r="H70" s="20">
        <v>4</v>
      </c>
      <c r="I70" s="20" t="s">
        <v>1080</v>
      </c>
      <c r="J70" s="18" t="s">
        <v>13</v>
      </c>
      <c r="K70" s="18" t="s">
        <v>13</v>
      </c>
      <c r="L70" s="18" t="s">
        <v>13</v>
      </c>
      <c r="M70" s="18" t="s">
        <v>13</v>
      </c>
      <c r="N70" s="16" t="str">
        <f t="shared" ref="N70:N96" si="2">+IF(OR($J70=0,$K70=0,$L70=0,$M70=0),"Không đủ ĐKDT","")</f>
        <v/>
      </c>
    </row>
    <row r="71" spans="2:14" ht="16.5" customHeight="1">
      <c r="B71" s="15">
        <v>62</v>
      </c>
      <c r="C71" s="22" t="s">
        <v>1168</v>
      </c>
      <c r="D71" s="10" t="s">
        <v>1169</v>
      </c>
      <c r="E71" s="12" t="s">
        <v>148</v>
      </c>
      <c r="F71" s="20" t="s">
        <v>414</v>
      </c>
      <c r="G71" s="20" t="s">
        <v>397</v>
      </c>
      <c r="H71" s="20">
        <v>4</v>
      </c>
      <c r="I71" s="20" t="s">
        <v>1080</v>
      </c>
      <c r="J71" s="18" t="s">
        <v>13</v>
      </c>
      <c r="K71" s="18" t="s">
        <v>13</v>
      </c>
      <c r="L71" s="18" t="s">
        <v>13</v>
      </c>
      <c r="M71" s="18" t="s">
        <v>13</v>
      </c>
      <c r="N71" s="16" t="str">
        <f t="shared" si="2"/>
        <v/>
      </c>
    </row>
    <row r="72" spans="2:14" ht="16.5" customHeight="1">
      <c r="B72" s="15">
        <v>63</v>
      </c>
      <c r="C72" s="22" t="s">
        <v>1170</v>
      </c>
      <c r="D72" s="10" t="s">
        <v>1171</v>
      </c>
      <c r="E72" s="12" t="s">
        <v>81</v>
      </c>
      <c r="F72" s="20" t="s">
        <v>38</v>
      </c>
      <c r="G72" s="20" t="s">
        <v>397</v>
      </c>
      <c r="H72" s="20">
        <v>4</v>
      </c>
      <c r="I72" s="20" t="s">
        <v>1080</v>
      </c>
      <c r="J72" s="18" t="s">
        <v>13</v>
      </c>
      <c r="K72" s="18" t="s">
        <v>13</v>
      </c>
      <c r="L72" s="18" t="s">
        <v>13</v>
      </c>
      <c r="M72" s="18" t="s">
        <v>13</v>
      </c>
      <c r="N72" s="16" t="str">
        <f t="shared" si="2"/>
        <v/>
      </c>
    </row>
    <row r="73" spans="2:14" ht="16.5" customHeight="1">
      <c r="B73" s="15">
        <v>64</v>
      </c>
      <c r="C73" s="22" t="s">
        <v>1172</v>
      </c>
      <c r="D73" s="10" t="s">
        <v>1173</v>
      </c>
      <c r="E73" s="12" t="s">
        <v>194</v>
      </c>
      <c r="F73" s="20" t="s">
        <v>38</v>
      </c>
      <c r="G73" s="20" t="s">
        <v>397</v>
      </c>
      <c r="H73" s="20">
        <v>4</v>
      </c>
      <c r="I73" s="20" t="s">
        <v>1080</v>
      </c>
      <c r="J73" s="18" t="s">
        <v>13</v>
      </c>
      <c r="K73" s="18" t="s">
        <v>13</v>
      </c>
      <c r="L73" s="18" t="s">
        <v>13</v>
      </c>
      <c r="M73" s="18" t="s">
        <v>13</v>
      </c>
      <c r="N73" s="16" t="str">
        <f t="shared" si="2"/>
        <v/>
      </c>
    </row>
    <row r="74" spans="2:14" ht="16.5" customHeight="1">
      <c r="B74" s="15">
        <v>65</v>
      </c>
      <c r="C74" s="22" t="s">
        <v>1174</v>
      </c>
      <c r="D74" s="10" t="s">
        <v>1175</v>
      </c>
      <c r="E74" s="12" t="s">
        <v>195</v>
      </c>
      <c r="F74" s="20" t="s">
        <v>412</v>
      </c>
      <c r="G74" s="20" t="s">
        <v>397</v>
      </c>
      <c r="H74" s="20">
        <v>4</v>
      </c>
      <c r="I74" s="20" t="s">
        <v>1080</v>
      </c>
      <c r="J74" s="18" t="s">
        <v>13</v>
      </c>
      <c r="K74" s="18" t="s">
        <v>13</v>
      </c>
      <c r="L74" s="18" t="s">
        <v>13</v>
      </c>
      <c r="M74" s="18" t="s">
        <v>13</v>
      </c>
      <c r="N74" s="16" t="str">
        <f t="shared" si="2"/>
        <v/>
      </c>
    </row>
    <row r="75" spans="2:14" ht="16.5" customHeight="1">
      <c r="B75" s="15">
        <v>66</v>
      </c>
      <c r="C75" s="22" t="s">
        <v>1176</v>
      </c>
      <c r="D75" s="10" t="s">
        <v>59</v>
      </c>
      <c r="E75" s="12" t="s">
        <v>89</v>
      </c>
      <c r="F75" s="20" t="s">
        <v>410</v>
      </c>
      <c r="G75" s="20" t="s">
        <v>397</v>
      </c>
      <c r="H75" s="20">
        <v>4</v>
      </c>
      <c r="I75" s="20" t="s">
        <v>1080</v>
      </c>
      <c r="J75" s="18" t="s">
        <v>13</v>
      </c>
      <c r="K75" s="18" t="s">
        <v>13</v>
      </c>
      <c r="L75" s="18" t="s">
        <v>13</v>
      </c>
      <c r="M75" s="18" t="s">
        <v>13</v>
      </c>
      <c r="N75" s="16" t="str">
        <f t="shared" si="2"/>
        <v/>
      </c>
    </row>
    <row r="76" spans="2:14" ht="16.5" customHeight="1">
      <c r="B76" s="15">
        <v>67</v>
      </c>
      <c r="C76" s="22" t="s">
        <v>1177</v>
      </c>
      <c r="D76" s="10" t="s">
        <v>198</v>
      </c>
      <c r="E76" s="12" t="s">
        <v>196</v>
      </c>
      <c r="F76" s="20" t="s">
        <v>468</v>
      </c>
      <c r="G76" s="20" t="s">
        <v>397</v>
      </c>
      <c r="H76" s="20">
        <v>4</v>
      </c>
      <c r="I76" s="20" t="s">
        <v>1080</v>
      </c>
      <c r="J76" s="18" t="s">
        <v>13</v>
      </c>
      <c r="K76" s="18" t="s">
        <v>13</v>
      </c>
      <c r="L76" s="18" t="s">
        <v>13</v>
      </c>
      <c r="M76" s="18" t="s">
        <v>13</v>
      </c>
      <c r="N76" s="16" t="str">
        <f t="shared" si="2"/>
        <v/>
      </c>
    </row>
    <row r="77" spans="2:14" ht="16.5" customHeight="1">
      <c r="B77" s="15">
        <v>68</v>
      </c>
      <c r="C77" s="22" t="s">
        <v>1178</v>
      </c>
      <c r="D77" s="10" t="s">
        <v>157</v>
      </c>
      <c r="E77" s="12" t="s">
        <v>91</v>
      </c>
      <c r="F77" s="20" t="s">
        <v>412</v>
      </c>
      <c r="G77" s="20" t="s">
        <v>397</v>
      </c>
      <c r="H77" s="20">
        <v>4</v>
      </c>
      <c r="I77" s="20" t="s">
        <v>1080</v>
      </c>
      <c r="J77" s="18" t="s">
        <v>13</v>
      </c>
      <c r="K77" s="18" t="s">
        <v>13</v>
      </c>
      <c r="L77" s="18" t="s">
        <v>13</v>
      </c>
      <c r="M77" s="18" t="s">
        <v>13</v>
      </c>
      <c r="N77" s="16" t="str">
        <f t="shared" si="2"/>
        <v/>
      </c>
    </row>
    <row r="78" spans="2:14" ht="16.5" customHeight="1">
      <c r="B78" s="15">
        <v>69</v>
      </c>
      <c r="C78" s="22" t="s">
        <v>1179</v>
      </c>
      <c r="D78" s="10" t="s">
        <v>157</v>
      </c>
      <c r="E78" s="12" t="s">
        <v>93</v>
      </c>
      <c r="F78" s="20" t="s">
        <v>456</v>
      </c>
      <c r="G78" s="20" t="s">
        <v>397</v>
      </c>
      <c r="H78" s="20">
        <v>4</v>
      </c>
      <c r="I78" s="20" t="s">
        <v>1080</v>
      </c>
      <c r="J78" s="18" t="s">
        <v>13</v>
      </c>
      <c r="K78" s="18" t="s">
        <v>13</v>
      </c>
      <c r="L78" s="18" t="s">
        <v>13</v>
      </c>
      <c r="M78" s="18" t="s">
        <v>13</v>
      </c>
      <c r="N78" s="16" t="str">
        <f t="shared" si="2"/>
        <v/>
      </c>
    </row>
    <row r="79" spans="2:14" ht="16.5" customHeight="1">
      <c r="B79" s="15">
        <v>70</v>
      </c>
      <c r="C79" s="22" t="s">
        <v>1180</v>
      </c>
      <c r="D79" s="10" t="s">
        <v>76</v>
      </c>
      <c r="E79" s="12" t="s">
        <v>1181</v>
      </c>
      <c r="F79" s="20" t="s">
        <v>468</v>
      </c>
      <c r="G79" s="20" t="s">
        <v>397</v>
      </c>
      <c r="H79" s="20">
        <v>4</v>
      </c>
      <c r="I79" s="20" t="s">
        <v>1080</v>
      </c>
      <c r="J79" s="18" t="s">
        <v>13</v>
      </c>
      <c r="K79" s="18" t="s">
        <v>13</v>
      </c>
      <c r="L79" s="18" t="s">
        <v>13</v>
      </c>
      <c r="M79" s="18" t="s">
        <v>13</v>
      </c>
      <c r="N79" s="16" t="str">
        <f t="shared" si="2"/>
        <v/>
      </c>
    </row>
    <row r="80" spans="2:14" ht="16.5" customHeight="1">
      <c r="B80" s="15">
        <v>71</v>
      </c>
      <c r="C80" s="22" t="s">
        <v>1182</v>
      </c>
      <c r="D80" s="10" t="s">
        <v>1183</v>
      </c>
      <c r="E80" s="12" t="s">
        <v>101</v>
      </c>
      <c r="F80" s="20" t="s">
        <v>420</v>
      </c>
      <c r="G80" s="20" t="s">
        <v>397</v>
      </c>
      <c r="H80" s="20">
        <v>4</v>
      </c>
      <c r="I80" s="20" t="s">
        <v>1080</v>
      </c>
      <c r="J80" s="18" t="s">
        <v>13</v>
      </c>
      <c r="K80" s="18" t="s">
        <v>13</v>
      </c>
      <c r="L80" s="18" t="s">
        <v>13</v>
      </c>
      <c r="M80" s="18" t="s">
        <v>13</v>
      </c>
      <c r="N80" s="16" t="str">
        <f t="shared" si="2"/>
        <v/>
      </c>
    </row>
    <row r="81" spans="2:14" ht="16.5" customHeight="1">
      <c r="B81" s="15">
        <v>72</v>
      </c>
      <c r="C81" s="22" t="s">
        <v>1184</v>
      </c>
      <c r="D81" s="10" t="s">
        <v>37</v>
      </c>
      <c r="E81" s="12" t="s">
        <v>156</v>
      </c>
      <c r="F81" s="20" t="s">
        <v>468</v>
      </c>
      <c r="G81" s="20" t="s">
        <v>397</v>
      </c>
      <c r="H81" s="20">
        <v>4</v>
      </c>
      <c r="I81" s="20" t="s">
        <v>1080</v>
      </c>
      <c r="J81" s="18" t="s">
        <v>13</v>
      </c>
      <c r="K81" s="18" t="s">
        <v>13</v>
      </c>
      <c r="L81" s="18" t="s">
        <v>13</v>
      </c>
      <c r="M81" s="18" t="s">
        <v>13</v>
      </c>
      <c r="N81" s="16" t="str">
        <f t="shared" si="2"/>
        <v/>
      </c>
    </row>
    <row r="82" spans="2:14" ht="16.5" customHeight="1">
      <c r="B82" s="15">
        <v>73</v>
      </c>
      <c r="C82" s="22" t="s">
        <v>1185</v>
      </c>
      <c r="D82" s="10" t="s">
        <v>834</v>
      </c>
      <c r="E82" s="12" t="s">
        <v>161</v>
      </c>
      <c r="F82" s="20" t="s">
        <v>52</v>
      </c>
      <c r="G82" s="20" t="s">
        <v>397</v>
      </c>
      <c r="H82" s="20">
        <v>4</v>
      </c>
      <c r="I82" s="20" t="s">
        <v>1080</v>
      </c>
      <c r="J82" s="18" t="s">
        <v>13</v>
      </c>
      <c r="K82" s="18" t="s">
        <v>13</v>
      </c>
      <c r="L82" s="18" t="s">
        <v>13</v>
      </c>
      <c r="M82" s="18" t="s">
        <v>13</v>
      </c>
      <c r="N82" s="16" t="str">
        <f t="shared" si="2"/>
        <v/>
      </c>
    </row>
    <row r="83" spans="2:14" ht="16.5" customHeight="1">
      <c r="B83" s="15">
        <v>74</v>
      </c>
      <c r="C83" s="22" t="s">
        <v>1186</v>
      </c>
      <c r="D83" s="10" t="s">
        <v>455</v>
      </c>
      <c r="E83" s="12" t="s">
        <v>1187</v>
      </c>
      <c r="F83" s="20" t="s">
        <v>82</v>
      </c>
      <c r="G83" s="20" t="s">
        <v>397</v>
      </c>
      <c r="H83" s="20">
        <v>4</v>
      </c>
      <c r="I83" s="20" t="s">
        <v>1080</v>
      </c>
      <c r="J83" s="18" t="s">
        <v>13</v>
      </c>
      <c r="K83" s="18" t="s">
        <v>13</v>
      </c>
      <c r="L83" s="18" t="s">
        <v>13</v>
      </c>
      <c r="M83" s="18" t="s">
        <v>13</v>
      </c>
      <c r="N83" s="16" t="str">
        <f t="shared" si="2"/>
        <v/>
      </c>
    </row>
    <row r="84" spans="2:14" ht="16.5" customHeight="1">
      <c r="B84" s="15">
        <v>75</v>
      </c>
      <c r="C84" s="22" t="s">
        <v>1188</v>
      </c>
      <c r="D84" s="10" t="s">
        <v>967</v>
      </c>
      <c r="E84" s="12" t="s">
        <v>925</v>
      </c>
      <c r="F84" s="20" t="s">
        <v>30</v>
      </c>
      <c r="G84" s="20" t="s">
        <v>397</v>
      </c>
      <c r="H84" s="20">
        <v>4</v>
      </c>
      <c r="I84" s="20" t="s">
        <v>1080</v>
      </c>
      <c r="J84" s="18" t="s">
        <v>13</v>
      </c>
      <c r="K84" s="18" t="s">
        <v>13</v>
      </c>
      <c r="L84" s="18" t="s">
        <v>13</v>
      </c>
      <c r="M84" s="18" t="s">
        <v>13</v>
      </c>
      <c r="N84" s="16" t="str">
        <f t="shared" si="2"/>
        <v/>
      </c>
    </row>
    <row r="85" spans="2:14" ht="16.5" customHeight="1">
      <c r="B85" s="15">
        <v>76</v>
      </c>
      <c r="C85" s="22" t="s">
        <v>1189</v>
      </c>
      <c r="D85" s="10" t="s">
        <v>119</v>
      </c>
      <c r="E85" s="12" t="s">
        <v>263</v>
      </c>
      <c r="F85" s="20" t="s">
        <v>456</v>
      </c>
      <c r="G85" s="20" t="s">
        <v>397</v>
      </c>
      <c r="H85" s="20">
        <v>4</v>
      </c>
      <c r="I85" s="20" t="s">
        <v>1080</v>
      </c>
      <c r="J85" s="18" t="s">
        <v>13</v>
      </c>
      <c r="K85" s="18" t="s">
        <v>13</v>
      </c>
      <c r="L85" s="18" t="s">
        <v>13</v>
      </c>
      <c r="M85" s="18" t="s">
        <v>13</v>
      </c>
      <c r="N85" s="16" t="str">
        <f t="shared" si="2"/>
        <v/>
      </c>
    </row>
    <row r="86" spans="2:14" ht="16.5" customHeight="1">
      <c r="B86" s="15">
        <v>77</v>
      </c>
      <c r="C86" s="22" t="s">
        <v>1190</v>
      </c>
      <c r="D86" s="10" t="s">
        <v>202</v>
      </c>
      <c r="E86" s="12" t="s">
        <v>120</v>
      </c>
      <c r="F86" s="20" t="s">
        <v>38</v>
      </c>
      <c r="G86" s="20" t="s">
        <v>397</v>
      </c>
      <c r="H86" s="20">
        <v>4</v>
      </c>
      <c r="I86" s="20" t="s">
        <v>1080</v>
      </c>
      <c r="J86" s="18" t="s">
        <v>13</v>
      </c>
      <c r="K86" s="18" t="s">
        <v>13</v>
      </c>
      <c r="L86" s="18" t="s">
        <v>13</v>
      </c>
      <c r="M86" s="18" t="s">
        <v>13</v>
      </c>
      <c r="N86" s="16" t="str">
        <f t="shared" si="2"/>
        <v/>
      </c>
    </row>
    <row r="87" spans="2:14" ht="16.5" customHeight="1">
      <c r="B87" s="15">
        <v>78</v>
      </c>
      <c r="C87" s="22" t="s">
        <v>1191</v>
      </c>
      <c r="D87" s="10" t="s">
        <v>238</v>
      </c>
      <c r="E87" s="12" t="s">
        <v>166</v>
      </c>
      <c r="F87" s="20" t="s">
        <v>410</v>
      </c>
      <c r="G87" s="20" t="s">
        <v>397</v>
      </c>
      <c r="H87" s="20">
        <v>4</v>
      </c>
      <c r="I87" s="20" t="s">
        <v>1080</v>
      </c>
      <c r="J87" s="18" t="s">
        <v>13</v>
      </c>
      <c r="K87" s="18" t="s">
        <v>13</v>
      </c>
      <c r="L87" s="18" t="s">
        <v>13</v>
      </c>
      <c r="M87" s="18" t="s">
        <v>13</v>
      </c>
      <c r="N87" s="16" t="str">
        <f t="shared" si="2"/>
        <v/>
      </c>
    </row>
    <row r="88" spans="2:14" ht="16.5" customHeight="1">
      <c r="B88" s="15">
        <v>79</v>
      </c>
      <c r="C88" s="22" t="s">
        <v>1192</v>
      </c>
      <c r="D88" s="10" t="s">
        <v>167</v>
      </c>
      <c r="E88" s="12" t="s">
        <v>166</v>
      </c>
      <c r="F88" s="20" t="s">
        <v>414</v>
      </c>
      <c r="G88" s="20" t="s">
        <v>397</v>
      </c>
      <c r="H88" s="20">
        <v>4</v>
      </c>
      <c r="I88" s="20" t="s">
        <v>1080</v>
      </c>
      <c r="J88" s="18" t="s">
        <v>13</v>
      </c>
      <c r="K88" s="18" t="s">
        <v>13</v>
      </c>
      <c r="L88" s="18" t="s">
        <v>13</v>
      </c>
      <c r="M88" s="18" t="s">
        <v>13</v>
      </c>
      <c r="N88" s="16" t="str">
        <f t="shared" si="2"/>
        <v/>
      </c>
    </row>
    <row r="89" spans="2:14" ht="16.5" customHeight="1">
      <c r="B89" s="15">
        <v>80</v>
      </c>
      <c r="C89" s="22" t="s">
        <v>1193</v>
      </c>
      <c r="D89" s="10" t="s">
        <v>167</v>
      </c>
      <c r="E89" s="12" t="s">
        <v>166</v>
      </c>
      <c r="F89" s="20" t="s">
        <v>52</v>
      </c>
      <c r="G89" s="20" t="s">
        <v>397</v>
      </c>
      <c r="H89" s="20">
        <v>4</v>
      </c>
      <c r="I89" s="20" t="s">
        <v>1080</v>
      </c>
      <c r="J89" s="18" t="s">
        <v>13</v>
      </c>
      <c r="K89" s="18" t="s">
        <v>13</v>
      </c>
      <c r="L89" s="18" t="s">
        <v>13</v>
      </c>
      <c r="M89" s="18" t="s">
        <v>13</v>
      </c>
      <c r="N89" s="16" t="str">
        <f t="shared" si="2"/>
        <v/>
      </c>
    </row>
    <row r="90" spans="2:14" ht="16.5" customHeight="1">
      <c r="B90" s="15">
        <v>81</v>
      </c>
      <c r="C90" s="22" t="s">
        <v>1194</v>
      </c>
      <c r="D90" s="10" t="s">
        <v>76</v>
      </c>
      <c r="E90" s="12" t="s">
        <v>1195</v>
      </c>
      <c r="F90" s="20" t="s">
        <v>420</v>
      </c>
      <c r="G90" s="20" t="s">
        <v>397</v>
      </c>
      <c r="H90" s="20">
        <v>4</v>
      </c>
      <c r="I90" s="20" t="s">
        <v>1080</v>
      </c>
      <c r="J90" s="18" t="s">
        <v>13</v>
      </c>
      <c r="K90" s="18" t="s">
        <v>13</v>
      </c>
      <c r="L90" s="18" t="s">
        <v>13</v>
      </c>
      <c r="M90" s="18" t="s">
        <v>13</v>
      </c>
      <c r="N90" s="16" t="str">
        <f t="shared" si="2"/>
        <v/>
      </c>
    </row>
    <row r="91" spans="2:14" ht="16.5" customHeight="1">
      <c r="B91" s="15">
        <v>82</v>
      </c>
      <c r="C91" s="22" t="s">
        <v>1196</v>
      </c>
      <c r="D91" s="10" t="s">
        <v>1197</v>
      </c>
      <c r="E91" s="12" t="s">
        <v>122</v>
      </c>
      <c r="F91" s="20" t="s">
        <v>405</v>
      </c>
      <c r="G91" s="20" t="s">
        <v>397</v>
      </c>
      <c r="H91" s="20">
        <v>4</v>
      </c>
      <c r="I91" s="20" t="s">
        <v>1080</v>
      </c>
      <c r="J91" s="18" t="s">
        <v>13</v>
      </c>
      <c r="K91" s="18" t="s">
        <v>13</v>
      </c>
      <c r="L91" s="18" t="s">
        <v>13</v>
      </c>
      <c r="M91" s="18" t="s">
        <v>13</v>
      </c>
      <c r="N91" s="16" t="str">
        <f t="shared" si="2"/>
        <v/>
      </c>
    </row>
    <row r="92" spans="2:14" ht="16.5" customHeight="1">
      <c r="B92" s="15">
        <v>83</v>
      </c>
      <c r="C92" s="22" t="s">
        <v>1198</v>
      </c>
      <c r="D92" s="10" t="s">
        <v>771</v>
      </c>
      <c r="E92" s="12" t="s">
        <v>128</v>
      </c>
      <c r="F92" s="20" t="s">
        <v>412</v>
      </c>
      <c r="G92" s="20" t="s">
        <v>397</v>
      </c>
      <c r="H92" s="20">
        <v>4</v>
      </c>
      <c r="I92" s="20" t="s">
        <v>1080</v>
      </c>
      <c r="J92" s="18" t="s">
        <v>13</v>
      </c>
      <c r="K92" s="18" t="s">
        <v>13</v>
      </c>
      <c r="L92" s="18" t="s">
        <v>13</v>
      </c>
      <c r="M92" s="18" t="s">
        <v>13</v>
      </c>
      <c r="N92" s="16" t="str">
        <f t="shared" si="2"/>
        <v/>
      </c>
    </row>
    <row r="93" spans="2:14" ht="16.5" customHeight="1">
      <c r="B93" s="15">
        <v>84</v>
      </c>
      <c r="C93" s="22" t="s">
        <v>1199</v>
      </c>
      <c r="D93" s="10" t="s">
        <v>1200</v>
      </c>
      <c r="E93" s="12" t="s">
        <v>1201</v>
      </c>
      <c r="F93" s="20" t="s">
        <v>82</v>
      </c>
      <c r="G93" s="20" t="s">
        <v>397</v>
      </c>
      <c r="H93" s="20">
        <v>4</v>
      </c>
      <c r="I93" s="20" t="s">
        <v>1080</v>
      </c>
      <c r="J93" s="18" t="s">
        <v>13</v>
      </c>
      <c r="K93" s="18" t="s">
        <v>13</v>
      </c>
      <c r="L93" s="18" t="s">
        <v>13</v>
      </c>
      <c r="M93" s="18" t="s">
        <v>13</v>
      </c>
      <c r="N93" s="16" t="str">
        <f t="shared" si="2"/>
        <v/>
      </c>
    </row>
    <row r="94" spans="2:14" ht="16.5" customHeight="1">
      <c r="B94" s="15">
        <v>85</v>
      </c>
      <c r="C94" s="22" t="s">
        <v>1202</v>
      </c>
      <c r="D94" s="10" t="s">
        <v>888</v>
      </c>
      <c r="E94" s="12" t="s">
        <v>203</v>
      </c>
      <c r="F94" s="20" t="s">
        <v>1203</v>
      </c>
      <c r="G94" s="20" t="s">
        <v>397</v>
      </c>
      <c r="H94" s="20">
        <v>4</v>
      </c>
      <c r="I94" s="20" t="s">
        <v>1080</v>
      </c>
      <c r="J94" s="18" t="s">
        <v>13</v>
      </c>
      <c r="K94" s="18" t="s">
        <v>13</v>
      </c>
      <c r="L94" s="18" t="s">
        <v>13</v>
      </c>
      <c r="M94" s="18" t="s">
        <v>13</v>
      </c>
      <c r="N94" s="16" t="str">
        <f t="shared" si="2"/>
        <v/>
      </c>
    </row>
    <row r="95" spans="2:14" ht="16.5" customHeight="1">
      <c r="B95" s="15">
        <v>86</v>
      </c>
      <c r="C95" s="22" t="s">
        <v>1204</v>
      </c>
      <c r="D95" s="10" t="s">
        <v>1205</v>
      </c>
      <c r="E95" s="12" t="s">
        <v>173</v>
      </c>
      <c r="F95" s="20" t="s">
        <v>414</v>
      </c>
      <c r="G95" s="20" t="s">
        <v>397</v>
      </c>
      <c r="H95" s="20">
        <v>4</v>
      </c>
      <c r="I95" s="20" t="s">
        <v>1080</v>
      </c>
      <c r="J95" s="18" t="s">
        <v>13</v>
      </c>
      <c r="K95" s="18" t="s">
        <v>13</v>
      </c>
      <c r="L95" s="18" t="s">
        <v>13</v>
      </c>
      <c r="M95" s="18" t="s">
        <v>13</v>
      </c>
      <c r="N95" s="16" t="str">
        <f t="shared" si="2"/>
        <v/>
      </c>
    </row>
    <row r="96" spans="2:14" ht="16.5" customHeight="1">
      <c r="B96" s="15">
        <v>87</v>
      </c>
      <c r="C96" s="22" t="s">
        <v>1206</v>
      </c>
      <c r="D96" s="10" t="s">
        <v>1021</v>
      </c>
      <c r="E96" s="12" t="s">
        <v>278</v>
      </c>
      <c r="F96" s="20" t="s">
        <v>410</v>
      </c>
      <c r="G96" s="20" t="s">
        <v>397</v>
      </c>
      <c r="H96" s="20">
        <v>4</v>
      </c>
      <c r="I96" s="20" t="s">
        <v>1080</v>
      </c>
      <c r="J96" s="18" t="s">
        <v>13</v>
      </c>
      <c r="K96" s="18" t="s">
        <v>13</v>
      </c>
      <c r="L96" s="18" t="s">
        <v>13</v>
      </c>
      <c r="M96" s="18" t="s">
        <v>13</v>
      </c>
      <c r="N96" s="16" t="str">
        <f t="shared" si="2"/>
        <v/>
      </c>
    </row>
    <row r="97" spans="2:14" ht="19.5" customHeight="1">
      <c r="B97" s="64" t="s">
        <v>20</v>
      </c>
      <c r="C97" s="64"/>
      <c r="D97" s="64"/>
      <c r="E97" s="64"/>
    </row>
    <row r="98" spans="2:14" ht="19.5" customHeight="1">
      <c r="B98" s="55" t="str">
        <f>"Điểm chuyên cần: " &amp; $J$9 &amp; "% "</f>
        <v xml:space="preserve">Điểm chuyên cần: % </v>
      </c>
      <c r="C98" s="55"/>
      <c r="D98" s="55"/>
      <c r="E98" s="55"/>
    </row>
    <row r="99" spans="2:14" ht="19.5" customHeight="1">
      <c r="B99" s="55" t="str">
        <f>"Điểm trung bình kiểm tra: "&amp;$K$9&amp;"%"</f>
        <v>Điểm trung bình kiểm tra: %</v>
      </c>
      <c r="C99" s="55"/>
      <c r="D99" s="55"/>
      <c r="E99" s="55"/>
    </row>
    <row r="100" spans="2:14" ht="19.5" customHeight="1">
      <c r="B100" s="55" t="str">
        <f>"Điểm thí nghiệm, thực hành: "&amp;$L$9&amp;"%"</f>
        <v>Điểm thí nghiệm, thực hành: %</v>
      </c>
      <c r="C100" s="55"/>
      <c r="D100" s="55"/>
      <c r="E100" s="55"/>
    </row>
    <row r="101" spans="2:14" ht="19.5" customHeight="1">
      <c r="B101" s="55" t="str">
        <f>"Điểm bài tập tiểu luận, seminar: "&amp;$M$9&amp;"%"</f>
        <v>Điểm bài tập tiểu luận, seminar: %</v>
      </c>
      <c r="C101" s="55"/>
      <c r="D101" s="55"/>
      <c r="E101" s="55"/>
    </row>
    <row r="102" spans="2:14">
      <c r="J102" s="56" t="s">
        <v>21</v>
      </c>
      <c r="K102" s="56"/>
      <c r="L102" s="56"/>
      <c r="M102" s="56"/>
      <c r="N102" s="56"/>
    </row>
    <row r="103" spans="2:14" ht="32.25" customHeight="1">
      <c r="B103" s="57" t="s">
        <v>17</v>
      </c>
      <c r="C103" s="57"/>
      <c r="D103" s="57"/>
      <c r="E103" s="57"/>
      <c r="F103" s="27"/>
      <c r="G103" s="27"/>
      <c r="H103" s="27"/>
      <c r="I103" s="24"/>
      <c r="J103" s="57" t="s">
        <v>18</v>
      </c>
      <c r="K103" s="57"/>
      <c r="L103" s="57"/>
      <c r="M103" s="57"/>
      <c r="N103" s="57"/>
    </row>
    <row r="109" spans="2:14">
      <c r="J109" s="58"/>
      <c r="K109" s="58"/>
      <c r="L109" s="58"/>
      <c r="M109" s="58"/>
      <c r="N109" s="58"/>
    </row>
  </sheetData>
  <sheetProtection formatCells="0" formatColumns="0" formatRows="0" insertColumns="0" insertRows="0" insertHyperlinks="0" deleteColumns="0" deleteRows="0" sort="0" autoFilter="0" pivotTables="0"/>
  <autoFilter ref="A8:N38">
    <filterColumn colId="3" showButton="0"/>
  </autoFilter>
  <mergeCells count="34">
    <mergeCell ref="K7:K8"/>
    <mergeCell ref="L7:L8"/>
    <mergeCell ref="M7:M8"/>
    <mergeCell ref="B1:I1"/>
    <mergeCell ref="J1:N2"/>
    <mergeCell ref="B2:C2"/>
    <mergeCell ref="B3:C3"/>
    <mergeCell ref="J3:N3"/>
    <mergeCell ref="D2:E2"/>
    <mergeCell ref="D3:E3"/>
    <mergeCell ref="B4:C4"/>
    <mergeCell ref="D4:K4"/>
    <mergeCell ref="L4:M4"/>
    <mergeCell ref="B5:C5"/>
    <mergeCell ref="J5:M5"/>
    <mergeCell ref="N7:N9"/>
    <mergeCell ref="B9:I9"/>
    <mergeCell ref="J109:N109"/>
    <mergeCell ref="B98:E98"/>
    <mergeCell ref="B99:E99"/>
    <mergeCell ref="B100:E100"/>
    <mergeCell ref="B101:E101"/>
    <mergeCell ref="J102:N102"/>
    <mergeCell ref="B103:E103"/>
    <mergeCell ref="J103:N103"/>
    <mergeCell ref="B97:E97"/>
    <mergeCell ref="B7:B8"/>
    <mergeCell ref="C7:C8"/>
    <mergeCell ref="D7:E8"/>
    <mergeCell ref="I7:I8"/>
    <mergeCell ref="J7:J8"/>
    <mergeCell ref="H7:H8"/>
    <mergeCell ref="G7:G8"/>
    <mergeCell ref="F7:F8"/>
  </mergeCells>
  <conditionalFormatting sqref="J10:M10">
    <cfRule type="cellIs" dxfId="109" priority="59" stopIfTrue="1" operator="greaterThan">
      <formula>10</formula>
    </cfRule>
    <cfRule type="cellIs" dxfId="108" priority="60" stopIfTrue="1" operator="greaterThan">
      <formula>10</formula>
    </cfRule>
    <cfRule type="cellIs" dxfId="107" priority="61" stopIfTrue="1" operator="greaterThan">
      <formula>10</formula>
    </cfRule>
    <cfRule type="cellIs" dxfId="106" priority="62" stopIfTrue="1" operator="greaterThan">
      <formula>10</formula>
    </cfRule>
  </conditionalFormatting>
  <conditionalFormatting sqref="J11:M13">
    <cfRule type="cellIs" dxfId="105" priority="55" stopIfTrue="1" operator="greaterThan">
      <formula>10</formula>
    </cfRule>
    <cfRule type="cellIs" dxfId="104" priority="56" stopIfTrue="1" operator="greaterThan">
      <formula>10</formula>
    </cfRule>
    <cfRule type="cellIs" dxfId="103" priority="57" stopIfTrue="1" operator="greaterThan">
      <formula>10</formula>
    </cfRule>
    <cfRule type="cellIs" dxfId="102" priority="58" stopIfTrue="1" operator="greaterThan">
      <formula>10</formula>
    </cfRule>
  </conditionalFormatting>
  <conditionalFormatting sqref="J14:M24 J30:M38">
    <cfRule type="cellIs" dxfId="101" priority="49" stopIfTrue="1" operator="greaterThan">
      <formula>10</formula>
    </cfRule>
    <cfRule type="cellIs" dxfId="100" priority="50" stopIfTrue="1" operator="greaterThan">
      <formula>10</formula>
    </cfRule>
    <cfRule type="cellIs" dxfId="99" priority="51" stopIfTrue="1" operator="greaterThan">
      <formula>10</formula>
    </cfRule>
    <cfRule type="cellIs" dxfId="98" priority="52" stopIfTrue="1" operator="greaterThan">
      <formula>10</formula>
    </cfRule>
  </conditionalFormatting>
  <conditionalFormatting sqref="J25:M29">
    <cfRule type="cellIs" dxfId="97" priority="35" stopIfTrue="1" operator="greaterThan">
      <formula>10</formula>
    </cfRule>
    <cfRule type="cellIs" dxfId="96" priority="36" stopIfTrue="1" operator="greaterThan">
      <formula>10</formula>
    </cfRule>
    <cfRule type="cellIs" dxfId="95" priority="37" stopIfTrue="1" operator="greaterThan">
      <formula>10</formula>
    </cfRule>
    <cfRule type="cellIs" dxfId="94" priority="38" stopIfTrue="1" operator="greaterThan">
      <formula>10</formula>
    </cfRule>
  </conditionalFormatting>
  <conditionalFormatting sqref="C25:C29">
    <cfRule type="duplicateValues" dxfId="93" priority="39" stopIfTrue="1"/>
    <cfRule type="duplicateValues" dxfId="92" priority="40" stopIfTrue="1"/>
  </conditionalFormatting>
  <conditionalFormatting sqref="C10:C24 C30:C38">
    <cfRule type="duplicateValues" dxfId="91" priority="203" stopIfTrue="1"/>
    <cfRule type="duplicateValues" dxfId="90" priority="204" stopIfTrue="1"/>
  </conditionalFormatting>
  <conditionalFormatting sqref="J39:M39">
    <cfRule type="cellIs" dxfId="89" priority="29" stopIfTrue="1" operator="greaterThan">
      <formula>10</formula>
    </cfRule>
    <cfRule type="cellIs" dxfId="88" priority="30" stopIfTrue="1" operator="greaterThan">
      <formula>10</formula>
    </cfRule>
    <cfRule type="cellIs" dxfId="87" priority="31" stopIfTrue="1" operator="greaterThan">
      <formula>10</formula>
    </cfRule>
    <cfRule type="cellIs" dxfId="86" priority="32" stopIfTrue="1" operator="greaterThan">
      <formula>10</formula>
    </cfRule>
  </conditionalFormatting>
  <conditionalFormatting sqref="J40:M42">
    <cfRule type="cellIs" dxfId="85" priority="25" stopIfTrue="1" operator="greaterThan">
      <formula>10</formula>
    </cfRule>
    <cfRule type="cellIs" dxfId="84" priority="26" stopIfTrue="1" operator="greaterThan">
      <formula>10</formula>
    </cfRule>
    <cfRule type="cellIs" dxfId="83" priority="27" stopIfTrue="1" operator="greaterThan">
      <formula>10</formula>
    </cfRule>
    <cfRule type="cellIs" dxfId="82" priority="28" stopIfTrue="1" operator="greaterThan">
      <formula>10</formula>
    </cfRule>
  </conditionalFormatting>
  <conditionalFormatting sqref="J43:M67">
    <cfRule type="cellIs" dxfId="81" priority="21" stopIfTrue="1" operator="greaterThan">
      <formula>10</formula>
    </cfRule>
    <cfRule type="cellIs" dxfId="80" priority="22" stopIfTrue="1" operator="greaterThan">
      <formula>10</formula>
    </cfRule>
    <cfRule type="cellIs" dxfId="79" priority="23" stopIfTrue="1" operator="greaterThan">
      <formula>10</formula>
    </cfRule>
    <cfRule type="cellIs" dxfId="78" priority="24" stopIfTrue="1" operator="greaterThan">
      <formula>10</formula>
    </cfRule>
  </conditionalFormatting>
  <conditionalFormatting sqref="C39:C67">
    <cfRule type="duplicateValues" dxfId="77" priority="33" stopIfTrue="1"/>
    <cfRule type="duplicateValues" dxfId="76" priority="34" stopIfTrue="1"/>
  </conditionalFormatting>
  <conditionalFormatting sqref="J68:M68">
    <cfRule type="cellIs" dxfId="75" priority="15" stopIfTrue="1" operator="greaterThan">
      <formula>10</formula>
    </cfRule>
    <cfRule type="cellIs" dxfId="74" priority="16" stopIfTrue="1" operator="greaterThan">
      <formula>10</formula>
    </cfRule>
    <cfRule type="cellIs" dxfId="73" priority="17" stopIfTrue="1" operator="greaterThan">
      <formula>10</formula>
    </cfRule>
    <cfRule type="cellIs" dxfId="72" priority="18" stopIfTrue="1" operator="greaterThan">
      <formula>10</formula>
    </cfRule>
  </conditionalFormatting>
  <conditionalFormatting sqref="J69:M71">
    <cfRule type="cellIs" dxfId="71" priority="11" stopIfTrue="1" operator="greaterThan">
      <formula>10</formula>
    </cfRule>
    <cfRule type="cellIs" dxfId="70" priority="12" stopIfTrue="1" operator="greaterThan">
      <formula>10</formula>
    </cfRule>
    <cfRule type="cellIs" dxfId="69" priority="13" stopIfTrue="1" operator="greaterThan">
      <formula>10</formula>
    </cfRule>
    <cfRule type="cellIs" dxfId="68" priority="14" stopIfTrue="1" operator="greaterThan">
      <formula>10</formula>
    </cfRule>
  </conditionalFormatting>
  <conditionalFormatting sqref="J72:M80 J87:M96">
    <cfRule type="cellIs" dxfId="67" priority="7" stopIfTrue="1" operator="greaterThan">
      <formula>10</formula>
    </cfRule>
    <cfRule type="cellIs" dxfId="66" priority="8" stopIfTrue="1" operator="greaterThan">
      <formula>10</formula>
    </cfRule>
    <cfRule type="cellIs" dxfId="65" priority="9" stopIfTrue="1" operator="greaterThan">
      <formula>10</formula>
    </cfRule>
    <cfRule type="cellIs" dxfId="64" priority="10" stopIfTrue="1" operator="greaterThan">
      <formula>10</formula>
    </cfRule>
  </conditionalFormatting>
  <conditionalFormatting sqref="J81:M86">
    <cfRule type="cellIs" dxfId="63" priority="1" stopIfTrue="1" operator="greaterThan">
      <formula>10</formula>
    </cfRule>
    <cfRule type="cellIs" dxfId="62" priority="2" stopIfTrue="1" operator="greaterThan">
      <formula>10</formula>
    </cfRule>
    <cfRule type="cellIs" dxfId="61" priority="3" stopIfTrue="1" operator="greaterThan">
      <formula>10</formula>
    </cfRule>
    <cfRule type="cellIs" dxfId="60" priority="4" stopIfTrue="1" operator="greaterThan">
      <formula>10</formula>
    </cfRule>
  </conditionalFormatting>
  <conditionalFormatting sqref="C81:C86">
    <cfRule type="duplicateValues" dxfId="59" priority="5" stopIfTrue="1"/>
    <cfRule type="duplicateValues" dxfId="58" priority="6" stopIfTrue="1"/>
  </conditionalFormatting>
  <conditionalFormatting sqref="C68:C80 C87:C96">
    <cfRule type="duplicateValues" dxfId="57" priority="19" stopIfTrue="1"/>
    <cfRule type="duplicateValues" dxfId="56" priority="20" stopIfTrue="1"/>
  </conditionalFormatting>
  <dataValidations count="1">
    <dataValidation type="decimal" allowBlank="1" showInputMessage="1" showErrorMessage="1" error="Sai định dạng" sqref="J10:M96">
      <formula1>0</formula1>
      <formula2>10</formula2>
    </dataValidation>
  </dataValidations>
  <pageMargins left="0.17" right="0.16" top="0.23622047244094491" bottom="0.35433070866141736" header="0.23622047244094491" footer="0.11811023622047245"/>
  <pageSetup paperSize="9" orientation="portrait" r:id="rId1"/>
  <headerFooter alignWithMargins="0">
    <oddFooter>&amp;R&amp;"Times New Roman,Italic"&amp;11Trang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Nhom ( 20)</vt:lpstr>
      <vt:lpstr>Nhom (19 )</vt:lpstr>
      <vt:lpstr>Nhom ( 18)</vt:lpstr>
      <vt:lpstr>Nhom ( 17)</vt:lpstr>
      <vt:lpstr>Nhom ( 16)</vt:lpstr>
      <vt:lpstr>Nhom ( 15)</vt:lpstr>
      <vt:lpstr>Nhom ( 14)</vt:lpstr>
      <vt:lpstr>Nhom (13 )</vt:lpstr>
      <vt:lpstr>Nhom (12)</vt:lpstr>
      <vt:lpstr>Nhom (11)</vt:lpstr>
      <vt:lpstr>Nhom (10)</vt:lpstr>
      <vt:lpstr>Nhom (9)</vt:lpstr>
      <vt:lpstr>Nhom (8)</vt:lpstr>
      <vt:lpstr>Nhom (7)</vt:lpstr>
      <vt:lpstr>Nhom (6)</vt:lpstr>
      <vt:lpstr>Nhom (5)</vt:lpstr>
      <vt:lpstr>Nhom (4)</vt:lpstr>
      <vt:lpstr>Nhom (3)</vt:lpstr>
      <vt:lpstr>Nhom (2)</vt:lpstr>
      <vt:lpstr>Nhom (1)</vt:lpstr>
      <vt:lpstr>'Nhom ( 14)'!Print_Titles</vt:lpstr>
      <vt:lpstr>'Nhom ( 15)'!Print_Titles</vt:lpstr>
      <vt:lpstr>'Nhom ( 16)'!Print_Titles</vt:lpstr>
      <vt:lpstr>'Nhom ( 17)'!Print_Titles</vt:lpstr>
      <vt:lpstr>'Nhom ( 18)'!Print_Titles</vt:lpstr>
      <vt:lpstr>'Nhom ( 20)'!Print_Titles</vt:lpstr>
      <vt:lpstr>'Nhom (1)'!Print_Titles</vt:lpstr>
      <vt:lpstr>'Nhom (10)'!Print_Titles</vt:lpstr>
      <vt:lpstr>'Nhom (11)'!Print_Titles</vt:lpstr>
      <vt:lpstr>'Nhom (12)'!Print_Titles</vt:lpstr>
      <vt:lpstr>'Nhom (13 )'!Print_Titles</vt:lpstr>
      <vt:lpstr>'Nhom (19 )'!Print_Titles</vt:lpstr>
      <vt:lpstr>'Nhom (2)'!Print_Titles</vt:lpstr>
      <vt:lpstr>'Nhom (3)'!Print_Titles</vt:lpstr>
      <vt:lpstr>'Nhom (4)'!Print_Titles</vt:lpstr>
      <vt:lpstr>'Nhom (5)'!Print_Titles</vt:lpstr>
      <vt:lpstr>'Nhom (6)'!Print_Titles</vt:lpstr>
      <vt:lpstr>'Nhom (7)'!Print_Titles</vt:lpstr>
      <vt:lpstr>'Nhom (8)'!Print_Titles</vt:lpstr>
      <vt:lpstr>'Nhom (9)'!Print_Titles</vt:lpstr>
    </vt:vector>
  </TitlesOfParts>
  <Company>HOME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0942540245</cp:lastModifiedBy>
  <cp:lastPrinted>2019-11-05T09:35:02Z</cp:lastPrinted>
  <dcterms:created xsi:type="dcterms:W3CDTF">2013-11-05T07:13:22Z</dcterms:created>
  <dcterms:modified xsi:type="dcterms:W3CDTF">2020-07-21T03:54:54Z</dcterms:modified>
</cp:coreProperties>
</file>